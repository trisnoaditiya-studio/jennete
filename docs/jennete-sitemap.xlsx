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Sitemap Visual" sheetId="2" state="visible" r:id="rId2"/>
    <sheet name="Sitemap" sheetId="3" state="visible" r:id="rId3"/>
    <sheet name="Navigasi" sheetId="4" state="visible" r:id="rId4"/>
    <sheet name="Temuan &amp; Keputusan" sheetId="5" state="visible" r:id="rId5"/>
  </sheets>
  <definedNames>
    <definedName name="_xlnm._FilterDatabase" localSheetId="2" hidden="1">'Sitemap'!$A$4:$N$53</definedName>
  </definedNames>
  <calcPr calcId="124519" fullCalcOnLoad="1"/>
</workbook>
</file>

<file path=xl/styles.xml><?xml version="1.0" encoding="utf-8"?>
<styleSheet xmlns="http://schemas.openxmlformats.org/spreadsheetml/2006/main">
  <numFmts count="1">
    <numFmt numFmtId="164" formatCode="#,##0;-#,##0;&quot;-&quot;"/>
  </numFmts>
  <fonts count="9">
    <font>
      <name val="Calibri"/>
      <family val="2"/>
      <color theme="1"/>
      <sz val="11"/>
      <scheme val="minor"/>
    </font>
    <font>
      <name val="Arial"/>
      <b val="1"/>
      <color rgb="005D447D"/>
      <sz val="14"/>
    </font>
    <font>
      <name val="Arial"/>
      <i val="1"/>
      <color rgb="00626A71"/>
      <sz val="9"/>
    </font>
    <font>
      <name val="Arial"/>
      <b val="1"/>
      <color rgb="00FFFFFF"/>
      <sz val="10"/>
    </font>
    <font>
      <name val="Arial"/>
      <color rgb="000E1418"/>
      <sz val="10"/>
    </font>
    <font>
      <name val="Arial"/>
      <b val="1"/>
      <color rgb="000E1418"/>
      <sz val="10"/>
    </font>
    <font>
      <name val="Arial"/>
      <b val="1"/>
      <color rgb="005D447D"/>
      <sz val="11"/>
    </font>
    <font>
      <name val="Arial"/>
      <color rgb="00626A71"/>
      <sz val="9"/>
    </font>
    <font>
      <name val="Courier New"/>
      <color rgb="000E1418"/>
      <sz val="9"/>
    </font>
  </fonts>
  <fills count="7">
    <fill>
      <patternFill/>
    </fill>
    <fill>
      <patternFill patternType="gray125"/>
    </fill>
    <fill>
      <patternFill patternType="solid">
        <fgColor rgb="005D447D"/>
      </patternFill>
    </fill>
    <fill>
      <patternFill patternType="solid">
        <fgColor rgb="00E3F2E9"/>
      </patternFill>
    </fill>
    <fill>
      <patternFill patternType="solid">
        <fgColor rgb="00EFE9F6"/>
      </patternFill>
    </fill>
    <fill>
      <patternFill patternType="solid">
        <fgColor rgb="00F2F2F2"/>
      </patternFill>
    </fill>
    <fill>
      <patternFill patternType="solid">
        <fgColor rgb="00FFF6D6"/>
      </patternFill>
    </fill>
  </fills>
  <borders count="2">
    <border>
      <left/>
      <right/>
      <top/>
      <bottom/>
      <diagonal/>
    </border>
    <border>
      <left style="thin">
        <color rgb="00D8DADB"/>
      </left>
      <right style="thin">
        <color rgb="00D8DADB"/>
      </right>
      <top style="thin">
        <color rgb="00D8DADB"/>
      </top>
      <bottom style="thin">
        <color rgb="00D8DADB"/>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4" fillId="3" borderId="1" pivotButton="0" quotePrefix="0" xfId="0"/>
    <xf numFmtId="0" fontId="4"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5" fillId="0" borderId="1" pivotButton="0" quotePrefix="0" xfId="0"/>
    <xf numFmtId="0" fontId="4" fillId="0" borderId="0"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vertical="center"/>
    </xf>
    <xf numFmtId="0" fontId="0" fillId="5" borderId="1" pivotButton="0" quotePrefix="0" xfId="0"/>
    <xf numFmtId="0" fontId="6" fillId="5" borderId="1" pivotButton="0" quotePrefix="0" xfId="0"/>
    <xf numFmtId="0" fontId="2" fillId="5" borderId="1" pivotButton="0" quotePrefix="0" xfId="0"/>
    <xf numFmtId="0" fontId="7" fillId="0" borderId="1" applyAlignment="1" pivotButton="0" quotePrefix="0" xfId="0">
      <alignment vertical="top" wrapText="1"/>
    </xf>
    <xf numFmtId="0" fontId="4" fillId="0" borderId="1" applyAlignment="1" pivotButton="0" quotePrefix="0" xfId="0">
      <alignment vertical="top" wrapText="1" indent="1"/>
    </xf>
    <xf numFmtId="0" fontId="8" fillId="0" borderId="1" applyAlignment="1" pivotButton="0" quotePrefix="0" xfId="0">
      <alignment vertical="top" wrapText="1"/>
    </xf>
    <xf numFmtId="0" fontId="5"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164" fontId="4" fillId="0" borderId="1" applyAlignment="1" pivotButton="0" quotePrefix="0" xfId="0">
      <alignment vertical="top" wrapText="1"/>
    </xf>
    <xf numFmtId="0" fontId="5"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6" borderId="1" applyAlignment="1" pivotButton="0" quotePrefix="0" xfId="0">
      <alignment vertical="top" wrapText="1"/>
    </xf>
  </cellXfs>
  <cellStyles count="1">
    <cellStyle name="Normal" xfId="0" builtinId="0" hidden="0"/>
  </cellStyles>
  <dxfs count="4">
    <dxf>
      <fill>
        <patternFill patternType="solid">
          <fgColor rgb="00E3F2E9"/>
        </patternFill>
      </fill>
    </dxf>
    <dxf>
      <fill>
        <patternFill patternType="solid">
          <fgColor rgb="00EFE9F6"/>
        </patternFill>
      </fill>
    </dxf>
    <dxf>
      <fill>
        <patternFill patternType="solid">
          <fgColor rgb="00F2F2F2"/>
        </patternFill>
      </fill>
    </dxf>
    <dxf>
      <fill>
        <patternFill patternType="solid">
          <f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34" customWidth="1" min="1" max="1"/>
    <col width="16" customWidth="1" min="2" max="2"/>
    <col width="40" customWidth="1" min="3" max="3"/>
    <col width="58" customWidth="1" min="4" max="4"/>
    <col width="52" customWidth="1" min="5" max="5"/>
  </cols>
  <sheetData>
    <row r="1">
      <c r="A1" s="1" t="inlineStr">
        <is>
          <t>Ringkasan sitemap</t>
        </is>
      </c>
    </row>
    <row r="2">
      <c r="A2" s="2" t="inlineStr">
        <is>
          <t>Semua angka dihitung dengan rumus dari sheet Sitemap.</t>
        </is>
      </c>
    </row>
    <row r="4">
      <c r="A4" s="3" t="inlineStr">
        <is>
          <t>Status</t>
        </is>
      </c>
      <c r="B4" s="3" t="inlineStr">
        <is>
          <t>Jumlah halaman</t>
        </is>
      </c>
      <c r="C4" s="3" t="inlineStr">
        <is>
          <t>Keterangan</t>
        </is>
      </c>
      <c r="D4" s="4" t="n"/>
      <c r="E4" s="4" t="n"/>
    </row>
    <row r="5">
      <c r="A5" s="5" t="inlineStr">
        <is>
          <t>Sudah ada</t>
        </is>
      </c>
      <c r="B5" s="6">
        <f>COUNTIF(Sitemap!$G$5:$G$53,A5)</f>
        <v>21</v>
      </c>
      <c r="C5" s="6" t="inlineStr">
        <is>
          <t>Desain/halaman sudah jadi</t>
        </is>
      </c>
      <c r="D5" s="4" t="n"/>
      <c r="E5" s="4" t="n"/>
    </row>
    <row r="6">
      <c r="A6" s="7" t="inlineStr">
        <is>
          <t>Baru – Fase 1</t>
        </is>
      </c>
      <c r="B6" s="6">
        <f>COUNTIF(Sitemap!$G$5:$G$53,A6)</f>
        <v>25</v>
      </c>
      <c r="C6" s="6" t="inlineStr">
        <is>
          <t>Wajib saat launch</t>
        </is>
      </c>
      <c r="D6" s="4" t="n"/>
      <c r="E6" s="4" t="n"/>
    </row>
    <row r="7">
      <c r="A7" s="8" t="inlineStr">
        <is>
          <t>Fase 2</t>
        </is>
      </c>
      <c r="B7" s="6">
        <f>COUNTIF(Sitemap!$G$5:$G$53,A7)</f>
        <v>2</v>
      </c>
      <c r="C7" s="6" t="inlineStr">
        <is>
          <t>Mulai dari anchor/section, dipecah kemudian</t>
        </is>
      </c>
      <c r="D7" s="4" t="n"/>
      <c r="E7" s="4" t="n"/>
    </row>
    <row r="8">
      <c r="A8" s="9" t="inlineStr">
        <is>
          <t>Fase 3</t>
        </is>
      </c>
      <c r="B8" s="6">
        <f>COUNTIF(Sitemap!$G$5:$G$53,A8)</f>
        <v>1</v>
      </c>
      <c r="C8" s="6" t="inlineStr">
        <is>
          <t>Ide pengembangan</t>
        </is>
      </c>
      <c r="D8" s="4" t="n"/>
      <c r="E8" s="4" t="n"/>
    </row>
    <row r="9">
      <c r="A9" s="10" t="inlineStr">
        <is>
          <t>Total</t>
        </is>
      </c>
      <c r="B9" s="10">
        <f>SUM(B5:B8)</f>
        <v>49</v>
      </c>
      <c r="C9" s="4" t="n"/>
      <c r="D9" s="4" t="n"/>
      <c r="E9" s="4" t="n"/>
    </row>
    <row r="10">
      <c r="A10" s="10" t="inlineStr">
        <is>
          <t>Total launch (Sudah ada + Fase 1)</t>
        </is>
      </c>
      <c r="B10" s="10">
        <f>B5+B6</f>
        <v>46</v>
      </c>
      <c r="C10" s="4" t="n"/>
      <c r="D10" s="4" t="n"/>
      <c r="E10" s="4" t="n"/>
    </row>
    <row r="11">
      <c r="A11" s="4" t="n"/>
      <c r="B11" s="4" t="n"/>
      <c r="C11" s="4" t="n"/>
      <c r="D11" s="4" t="n"/>
      <c r="E11" s="4" t="n"/>
    </row>
    <row r="12" ht="28" customHeight="1">
      <c r="A12" s="11" t="inlineStr">
        <is>
          <t>Template = kerangka tata letak halaman yang dipakai ulang. Cukup didesain &amp; dibangun sekali, lalu diisi konten berbeda. Jumlah template menentukan beban desain/development; jumlah halaman menentukan beban konten.</t>
        </is>
      </c>
      <c r="B12" s="4" t="n"/>
      <c r="C12" s="4" t="n"/>
      <c r="D12" s="4" t="n"/>
      <c r="E12" s="4" t="n"/>
    </row>
    <row r="13">
      <c r="A13" s="3" t="inlineStr">
        <is>
          <t>Template</t>
        </is>
      </c>
      <c r="B13" s="3" t="inlineStr">
        <is>
          <t>Jumlah halaman</t>
        </is>
      </c>
      <c r="C13" s="3" t="inlineStr">
        <is>
          <t>Sudah jadi</t>
        </is>
      </c>
      <c r="D13" s="3" t="inlineStr">
        <is>
          <t>Fungsi</t>
        </is>
      </c>
      <c r="E13" s="3" t="inlineStr">
        <is>
          <t>Contoh halaman / basis desain</t>
        </is>
      </c>
    </row>
    <row r="14">
      <c r="A14" s="6" t="inlineStr">
        <is>
          <t>Home</t>
        </is>
      </c>
      <c r="B14" s="6">
        <f>COUNTIF(Sitemap!$H$5:$H$53,A14)</f>
        <v>1</v>
      </c>
      <c r="C14" s="6">
        <f>COUNTIFS(Sitemap!$H$5:$H$53,A14,Sitemap!$G$5:$G$53,"Sudah ada")</f>
        <v>1</v>
      </c>
      <c r="D14" s="12" t="inlineStr">
        <is>
          <t>Halaman depan: memperkenalkan Jennete, armada unggulan, cara sewa, dan mengarahkan ke penawaran</t>
        </is>
      </c>
      <c r="E14" s="12" t="inlineStr">
        <is>
          <t>Beranda — index.html</t>
        </is>
      </c>
    </row>
    <row r="15">
      <c r="A15" s="6" t="inlineStr">
        <is>
          <t>Hub</t>
        </is>
      </c>
      <c r="B15" s="6">
        <f>COUNTIF(Sitemap!$H$5:$H$53,A15)</f>
        <v>6</v>
      </c>
      <c r="C15" s="6">
        <f>COUNTIFS(Sitemap!$H$5:$H$53,A15,Sitemap!$G$5:$G$53,"Sudah ada")</f>
        <v>6</v>
      </c>
      <c r="D15" s="12" t="inlineStr">
        <is>
          <t>Halaman induk satu topik: merangkum beberapa sub-topik lalu mengarahkan ke detailnya</t>
        </is>
      </c>
      <c r="E15" s="12" t="inlineStr">
        <is>
          <t>Solusi Bisnis (+4 sub-solusi), Bantuan — basis solusi-bisnis.html</t>
        </is>
      </c>
    </row>
    <row r="16">
      <c r="A16" s="6" t="inlineStr">
        <is>
          <t>Listing</t>
        </is>
      </c>
      <c r="B16" s="6">
        <f>COUNTIF(Sitemap!$H$5:$H$53,A16)</f>
        <v>6</v>
      </c>
      <c r="C16" s="6">
        <f>COUNTIFS(Sitemap!$H$5:$H$53,A16,Sitemap!$G$5:$G$53,"Sudah ada")</f>
        <v>6</v>
      </c>
      <c r="D16" s="12" t="inlineStr">
        <is>
          <t>Daftar banyak item dengan filter/kategori untuk dipilih</t>
        </is>
      </c>
      <c r="E16" s="12" t="inlineStr">
        <is>
          <t>Armada, Mobil, Motor, Mobil listrik, Premium, Artikel — basis kartu armada</t>
        </is>
      </c>
    </row>
    <row r="17">
      <c r="A17" s="6" t="inlineStr">
        <is>
          <t>Detail</t>
        </is>
      </c>
      <c r="B17" s="6">
        <f>COUNTIF(Sitemap!$H$5:$H$53,A17)</f>
        <v>21</v>
      </c>
      <c r="C17" s="6">
        <f>COUNTIFS(Sitemap!$H$5:$H$53,A17,Sitemap!$G$5:$G$53,"Sudah ada")</f>
        <v>1</v>
      </c>
      <c r="D17" s="12" t="inlineStr">
        <is>
          <t>Satu item secara lengkap: galeri, spesifikasi, harga/paket, CTA</t>
        </is>
      </c>
      <c r="E17" s="12" t="inlineStr">
        <is>
          <t>21 unit armada — basis wuling-cortez-darion.html</t>
        </is>
      </c>
    </row>
    <row r="18">
      <c r="A18" s="6" t="inlineStr">
        <is>
          <t>Konten</t>
        </is>
      </c>
      <c r="B18" s="6">
        <f>COUNTIF(Sitemap!$H$5:$H$53,A18)</f>
        <v>10</v>
      </c>
      <c r="C18" s="6">
        <f>COUNTIFS(Sitemap!$H$5:$H$53,A18,Sitemap!$G$5:$G$53,"Sudah ada")</f>
        <v>4</v>
      </c>
      <c r="D18" s="12" t="inlineStr">
        <is>
          <t>Halaman informasi berbasis teks (judul, paragraf, accordion)</t>
        </is>
      </c>
      <c r="E18" s="12" t="inlineStr">
        <is>
          <t>Cara Sewa, FAQ, Tentang Kami, S&amp;K, Privasi, 404, detail artikel</t>
        </is>
      </c>
    </row>
    <row r="19">
      <c r="A19" s="6" t="inlineStr">
        <is>
          <t>Form</t>
        </is>
      </c>
      <c r="B19" s="6">
        <f>COUNTIF(Sitemap!$H$5:$H$53,A19)</f>
        <v>4</v>
      </c>
      <c r="C19" s="6">
        <f>COUNTIFS(Sitemap!$H$5:$H$53,A19,Sitemap!$G$5:$G$53,"Sudah ada")</f>
        <v>3</v>
      </c>
      <c r="D19" s="12" t="inlineStr">
        <is>
          <t>Halaman yang tujuannya mengumpulkan data/lead</t>
        </is>
      </c>
      <c r="E19" s="12" t="inlineStr">
        <is>
          <t>Minta Penawaran, Terima kasih, Kontak, Simulasi biaya — basis modal form</t>
        </is>
      </c>
    </row>
    <row r="20">
      <c r="A20" s="6" t="inlineStr">
        <is>
          <t>—</t>
        </is>
      </c>
      <c r="B20" s="6">
        <f>COUNTIF(Sitemap!$H$5:$H$53,A20)</f>
        <v>1</v>
      </c>
      <c r="C20" s="6">
        <f>COUNTIFS(Sitemap!$H$5:$H$53,A20,Sitemap!$G$5:$G$53,"Sudah ada")</f>
        <v>0</v>
      </c>
      <c r="D20" s="12" t="inlineStr">
        <is>
          <t>Bukan halaman visual (file teknis)</t>
        </is>
      </c>
      <c r="E20" s="12" t="inlineStr">
        <is>
          <t>sitemap.xml, robots.txt</t>
        </is>
      </c>
    </row>
    <row r="21">
      <c r="A21" s="10" t="inlineStr">
        <is>
          <t>Total</t>
        </is>
      </c>
      <c r="B21" s="10">
        <f>SUM(B14:B20)</f>
        <v>49</v>
      </c>
      <c r="C21" s="10">
        <f>SUM(C14:C20)</f>
        <v>21</v>
      </c>
      <c r="D21" s="4" t="n"/>
      <c r="E21" s="4" t="n"/>
    </row>
    <row r="22">
      <c r="A22" s="4" t="n"/>
      <c r="B22" s="4" t="n"/>
      <c r="C22" s="4" t="n"/>
      <c r="D22" s="4" t="n"/>
      <c r="E22" s="4" t="n"/>
    </row>
    <row r="23">
      <c r="A23" s="3" t="inlineStr">
        <is>
          <t>Level</t>
        </is>
      </c>
      <c r="B23" s="3" t="inlineStr">
        <is>
          <t>Jumlah halaman</t>
        </is>
      </c>
      <c r="C23" s="4" t="n"/>
      <c r="D23" s="4" t="n"/>
      <c r="E23" s="4" t="n"/>
    </row>
    <row r="24">
      <c r="A24" s="6" t="inlineStr">
        <is>
          <t>0 – Beranda</t>
        </is>
      </c>
      <c r="B24" s="6">
        <f>COUNTIF(Sitemap!$B$5:$B$53,0)</f>
        <v>1</v>
      </c>
      <c r="C24" s="4" t="n"/>
      <c r="D24" s="4" t="n"/>
      <c r="E24" s="4" t="n"/>
    </row>
    <row r="25">
      <c r="A25" s="6" t="inlineStr">
        <is>
          <t>1 – Menu utama</t>
        </is>
      </c>
      <c r="B25" s="6">
        <f>COUNTIF(Sitemap!$B$5:$B$53,1)</f>
        <v>12</v>
      </c>
      <c r="C25" s="4" t="n"/>
      <c r="D25" s="4" t="n"/>
      <c r="E25" s="4" t="n"/>
    </row>
    <row r="26">
      <c r="A26" s="6" t="inlineStr">
        <is>
          <t>2 – Sub-halaman</t>
        </is>
      </c>
      <c r="B26" s="6">
        <f>COUNTIF(Sitemap!$B$5:$B$53,2)</f>
        <v>15</v>
      </c>
      <c r="C26" s="4" t="n"/>
      <c r="D26" s="4" t="n"/>
      <c r="E26" s="4" t="n"/>
    </row>
    <row r="27">
      <c r="A27" s="6" t="inlineStr">
        <is>
          <t>3 – Detail unit</t>
        </is>
      </c>
      <c r="B27" s="6">
        <f>COUNTIF(Sitemap!$B$5:$B$53,3)</f>
        <v>21</v>
      </c>
      <c r="C27" s="4" t="n"/>
      <c r="D27" s="4" t="n"/>
      <c r="E27" s="4" t="n"/>
    </row>
    <row r="28">
      <c r="A28" s="10" t="inlineStr">
        <is>
          <t>Total</t>
        </is>
      </c>
      <c r="B28" s="10">
        <f>SUM(B24:B27)</f>
        <v>49</v>
      </c>
      <c r="C28" s="4" t="n"/>
      <c r="D28" s="4" t="n"/>
      <c r="E28" s="4" t="n"/>
    </row>
  </sheetData>
  <mergeCells count="1">
    <mergeCell ref="A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2" customWidth="1" min="3" max="3"/>
    <col width="36" customWidth="1" min="4" max="4"/>
    <col width="16" customWidth="1" min="5" max="5"/>
    <col width="12" customWidth="1" min="6" max="6"/>
    <col width="18" customWidth="1" min="7" max="7"/>
    <col width="46" customWidth="1" min="8" max="8"/>
  </cols>
  <sheetData>
    <row r="1">
      <c r="A1" s="1" t="inlineStr">
        <is>
          <t>Sitemap visual — listing per grup menu</t>
        </is>
      </c>
    </row>
    <row r="2">
      <c r="A2" s="2" t="inlineStr">
        <is>
          <t>Sama dengan diagram sitemap. Detail per halaman (termasuk 21 unit armada) ada di sheet Sitemap; kolom ID menunjuk ke sheet itu.</t>
        </is>
      </c>
    </row>
    <row r="4">
      <c r="A4" s="13" t="inlineStr">
        <is>
          <t>No</t>
        </is>
      </c>
      <c r="B4" s="13" t="inlineStr">
        <is>
          <t>Grup</t>
        </is>
      </c>
      <c r="C4" s="13" t="inlineStr">
        <is>
          <t>Halaman</t>
        </is>
      </c>
      <c r="D4" s="13" t="inlineStr">
        <is>
          <t>URL</t>
        </is>
      </c>
      <c r="E4" s="13" t="inlineStr">
        <is>
          <t>Status</t>
        </is>
      </c>
      <c r="F4" s="13" t="inlineStr">
        <is>
          <t>Template</t>
        </is>
      </c>
      <c r="G4" s="13" t="inlineStr">
        <is>
          <t>ID di sheet Sitemap</t>
        </is>
      </c>
      <c r="H4" s="13" t="inlineStr">
        <is>
          <t>Catatan</t>
        </is>
      </c>
    </row>
    <row r="5">
      <c r="A5" s="14" t="n"/>
      <c r="B5" s="15" t="inlineStr">
        <is>
          <t>Beranda</t>
        </is>
      </c>
      <c r="C5" s="14" t="n"/>
      <c r="D5" s="16" t="inlineStr">
        <is>
          <t>/</t>
        </is>
      </c>
      <c r="E5" s="14" t="n"/>
      <c r="F5" s="14" t="n"/>
      <c r="G5" s="14" t="n"/>
      <c r="H5" s="14" t="n"/>
    </row>
    <row r="6">
      <c r="A6" s="12" t="n">
        <v>1</v>
      </c>
      <c r="B6" s="17" t="inlineStr">
        <is>
          <t>Beranda</t>
        </is>
      </c>
      <c r="C6" s="18" t="inlineStr">
        <is>
          <t>Beranda</t>
        </is>
      </c>
      <c r="D6" s="19" t="inlineStr">
        <is>
          <t>/</t>
        </is>
      </c>
      <c r="E6" s="12" t="inlineStr">
        <is>
          <t>Sudah ada</t>
        </is>
      </c>
      <c r="F6" s="12" t="inlineStr">
        <is>
          <t>Home</t>
        </is>
      </c>
      <c r="G6" s="12" t="inlineStr">
        <is>
          <t>0</t>
        </is>
      </c>
      <c r="H6" s="12" t="n"/>
    </row>
    <row r="7">
      <c r="A7" s="14" t="n"/>
      <c r="B7" s="15" t="inlineStr">
        <is>
          <t>Solusi Bisnis</t>
        </is>
      </c>
      <c r="C7" s="14" t="n"/>
      <c r="D7" s="16" t="inlineStr">
        <is>
          <t>/solusi-bisnis</t>
        </is>
      </c>
      <c r="E7" s="14" t="n"/>
      <c r="F7" s="14" t="n"/>
      <c r="G7" s="14" t="n"/>
      <c r="H7" s="14" t="n"/>
    </row>
    <row r="8">
      <c r="A8" s="12" t="n">
        <v>2</v>
      </c>
      <c r="B8" s="17" t="inlineStr">
        <is>
          <t>Solusi Bisnis</t>
        </is>
      </c>
      <c r="C8" s="18" t="inlineStr">
        <is>
          <t>Hub solusi + komparasi</t>
        </is>
      </c>
      <c r="D8" s="19" t="inlineStr">
        <is>
          <t>/solusi-bisnis</t>
        </is>
      </c>
      <c r="E8" s="12" t="inlineStr">
        <is>
          <t>Sudah ada</t>
        </is>
      </c>
      <c r="F8" s="12" t="inlineStr">
        <is>
          <t>Hub</t>
        </is>
      </c>
      <c r="G8" s="12" t="inlineStr">
        <is>
          <t>1</t>
        </is>
      </c>
      <c r="H8" s="12" t="n"/>
    </row>
    <row r="9">
      <c r="A9" s="12" t="n">
        <v>3</v>
      </c>
      <c r="B9" s="17" t="inlineStr">
        <is>
          <t>Solusi Bisnis</t>
        </is>
      </c>
      <c r="C9" s="18" t="inlineStr">
        <is>
          <t>Sewa jangka panjang</t>
        </is>
      </c>
      <c r="D9" s="19" t="inlineStr">
        <is>
          <t>/solusi-bisnis/sewa-jangka-panjang/</t>
        </is>
      </c>
      <c r="E9" s="12" t="inlineStr">
        <is>
          <t>Sudah ada</t>
        </is>
      </c>
      <c r="F9" s="12" t="inlineStr">
        <is>
          <t>Hub</t>
        </is>
      </c>
      <c r="G9" s="12" t="inlineStr">
        <is>
          <t>1.1</t>
        </is>
      </c>
      <c r="H9" s="12" t="n"/>
    </row>
    <row r="10">
      <c r="A10" s="12" t="n">
        <v>4</v>
      </c>
      <c r="B10" s="17" t="inlineStr">
        <is>
          <t>Solusi Bisnis</t>
        </is>
      </c>
      <c r="C10" s="18" t="inlineStr">
        <is>
          <t>Operasional + sopir</t>
        </is>
      </c>
      <c r="D10" s="19" t="inlineStr">
        <is>
          <t>/solusi-bisnis/operasional-sopir/</t>
        </is>
      </c>
      <c r="E10" s="12" t="inlineStr">
        <is>
          <t>Sudah ada</t>
        </is>
      </c>
      <c r="F10" s="12" t="inlineStr">
        <is>
          <t>Hub</t>
        </is>
      </c>
      <c r="G10" s="12" t="inlineStr">
        <is>
          <t>1.2</t>
        </is>
      </c>
      <c r="H10" s="12" t="n"/>
    </row>
    <row r="11">
      <c r="A11" s="12" t="n">
        <v>5</v>
      </c>
      <c r="B11" s="17" t="inlineStr">
        <is>
          <t>Solusi Bisnis</t>
        </is>
      </c>
      <c r="C11" s="18" t="inlineStr">
        <is>
          <t>Pengadaan instansi (LKPP)</t>
        </is>
      </c>
      <c r="D11" s="19" t="inlineStr">
        <is>
          <t>/solusi-bisnis/pengadaan-instansi/</t>
        </is>
      </c>
      <c r="E11" s="12" t="inlineStr">
        <is>
          <t>Sudah ada</t>
        </is>
      </c>
      <c r="F11" s="12" t="inlineStr">
        <is>
          <t>Hub</t>
        </is>
      </c>
      <c r="G11" s="12" t="inlineStr">
        <is>
          <t>1.3</t>
        </is>
      </c>
      <c r="H11" s="12" t="n"/>
    </row>
    <row r="12">
      <c r="A12" s="12" t="n">
        <v>6</v>
      </c>
      <c r="B12" s="17" t="inlineStr">
        <is>
          <t>Solusi Bisnis</t>
        </is>
      </c>
      <c r="C12" s="18" t="inlineStr">
        <is>
          <t>Layanan purna sewa</t>
        </is>
      </c>
      <c r="D12" s="19" t="inlineStr">
        <is>
          <t>/solusi-bisnis/layanan-purna-sewa/</t>
        </is>
      </c>
      <c r="E12" s="12" t="inlineStr">
        <is>
          <t>Sudah ada</t>
        </is>
      </c>
      <c r="F12" s="12" t="inlineStr">
        <is>
          <t>Hub</t>
        </is>
      </c>
      <c r="G12" s="12" t="inlineStr">
        <is>
          <t>1.4</t>
        </is>
      </c>
      <c r="H12" s="12" t="n"/>
    </row>
    <row r="13">
      <c r="A13" s="14" t="n"/>
      <c r="B13" s="15" t="inlineStr">
        <is>
          <t>Armada</t>
        </is>
      </c>
      <c r="C13" s="14" t="n"/>
      <c r="D13" s="16" t="inlineStr">
        <is>
          <t>/armada</t>
        </is>
      </c>
      <c r="E13" s="14" t="n"/>
      <c r="F13" s="14" t="n"/>
      <c r="G13" s="14" t="n"/>
      <c r="H13" s="14" t="n"/>
    </row>
    <row r="14">
      <c r="A14" s="12" t="n">
        <v>7</v>
      </c>
      <c r="B14" s="17" t="inlineStr">
        <is>
          <t>Armada</t>
        </is>
      </c>
      <c r="C14" s="18" t="inlineStr">
        <is>
          <t>Katalog + filter</t>
        </is>
      </c>
      <c r="D14" s="19" t="inlineStr">
        <is>
          <t>/armada/</t>
        </is>
      </c>
      <c r="E14" s="12" t="inlineStr">
        <is>
          <t>Sudah ada</t>
        </is>
      </c>
      <c r="F14" s="12" t="inlineStr">
        <is>
          <t>Listing</t>
        </is>
      </c>
      <c r="G14" s="12" t="inlineStr">
        <is>
          <t>2</t>
        </is>
      </c>
      <c r="H14" s="12" t="n"/>
    </row>
    <row r="15">
      <c r="A15" s="12" t="n">
        <v>8</v>
      </c>
      <c r="B15" s="17" t="inlineStr">
        <is>
          <t>Armada</t>
        </is>
      </c>
      <c r="C15" s="18" t="inlineStr">
        <is>
          <t>Mobil</t>
        </is>
      </c>
      <c r="D15" s="19" t="inlineStr">
        <is>
          <t>/armada/mobil/</t>
        </is>
      </c>
      <c r="E15" s="12" t="inlineStr">
        <is>
          <t>Sudah ada</t>
        </is>
      </c>
      <c r="F15" s="12" t="inlineStr">
        <is>
          <t>Listing</t>
        </is>
      </c>
      <c r="G15" s="12" t="inlineStr">
        <is>
          <t>2.1</t>
        </is>
      </c>
      <c r="H15" s="12" t="n"/>
    </row>
    <row r="16">
      <c r="A16" s="12" t="n">
        <v>9</v>
      </c>
      <c r="B16" s="17" t="inlineStr">
        <is>
          <t>Armada</t>
        </is>
      </c>
      <c r="C16" s="18" t="inlineStr">
        <is>
          <t>Motor</t>
        </is>
      </c>
      <c r="D16" s="19" t="inlineStr">
        <is>
          <t>/armada/motor/</t>
        </is>
      </c>
      <c r="E16" s="12" t="inlineStr">
        <is>
          <t>Sudah ada</t>
        </is>
      </c>
      <c r="F16" s="12" t="inlineStr">
        <is>
          <t>Listing</t>
        </is>
      </c>
      <c r="G16" s="12" t="inlineStr">
        <is>
          <t>2.2</t>
        </is>
      </c>
      <c r="H16" s="12" t="n"/>
    </row>
    <row r="17">
      <c r="A17" s="12" t="n">
        <v>10</v>
      </c>
      <c r="B17" s="17" t="inlineStr">
        <is>
          <t>Armada</t>
        </is>
      </c>
      <c r="C17" s="18" t="inlineStr">
        <is>
          <t>Mobil listrik (SEO)</t>
        </is>
      </c>
      <c r="D17" s="19" t="inlineStr">
        <is>
          <t>/armada/mobil/listrik/</t>
        </is>
      </c>
      <c r="E17" s="12" t="inlineStr">
        <is>
          <t>Sudah ada</t>
        </is>
      </c>
      <c r="F17" s="12" t="inlineStr">
        <is>
          <t>Listing</t>
        </is>
      </c>
      <c r="G17" s="12" t="inlineStr">
        <is>
          <t>2.3</t>
        </is>
      </c>
      <c r="H17" s="12" t="n"/>
    </row>
    <row r="18">
      <c r="A18" s="12" t="n">
        <v>11</v>
      </c>
      <c r="B18" s="17" t="inlineStr">
        <is>
          <t>Armada</t>
        </is>
      </c>
      <c r="C18" s="18" t="inlineStr">
        <is>
          <t>Mobil premium</t>
        </is>
      </c>
      <c r="D18" s="19" t="inlineStr">
        <is>
          <t>/armada/mobil/premium/</t>
        </is>
      </c>
      <c r="E18" s="12" t="inlineStr">
        <is>
          <t>Sudah ada</t>
        </is>
      </c>
      <c r="F18" s="12" t="inlineStr">
        <is>
          <t>Listing</t>
        </is>
      </c>
      <c r="G18" s="12" t="inlineStr">
        <is>
          <t>2.4</t>
        </is>
      </c>
      <c r="H18" s="12" t="inlineStr">
        <is>
          <t>Tidak tampil di diagram; ada di sheet Sitemap</t>
        </is>
      </c>
    </row>
    <row r="19">
      <c r="A19" s="12" t="n">
        <v>12</v>
      </c>
      <c r="B19" s="17" t="inlineStr">
        <is>
          <t>Armada</t>
        </is>
      </c>
      <c r="C19" s="18" t="inlineStr">
        <is>
          <t>Detail unit (21 unit)</t>
        </is>
      </c>
      <c r="D19" s="19" t="inlineStr">
        <is>
          <t>/armada/{slug}</t>
        </is>
      </c>
      <c r="E19" s="12" t="inlineStr">
        <is>
          <t>Sudah ada</t>
        </is>
      </c>
      <c r="F19" s="12" t="inlineStr">
        <is>
          <t>Detail</t>
        </is>
      </c>
      <c r="G19" s="12" t="inlineStr">
        <is>
          <t>2.D01–2.D21</t>
        </is>
      </c>
      <c r="H19" s="12" t="inlineStr">
        <is>
          <t>Template sudah ada (Wuling Cortez Darion); 20 unit lain masih Baru – Fase 1</t>
        </is>
      </c>
    </row>
    <row r="20">
      <c r="A20" s="14" t="n"/>
      <c r="B20" s="15" t="inlineStr">
        <is>
          <t>Cara Sewa</t>
        </is>
      </c>
      <c r="C20" s="14" t="n"/>
      <c r="D20" s="16" t="inlineStr">
        <is>
          <t>/cara-sewa</t>
        </is>
      </c>
      <c r="E20" s="14" t="n"/>
      <c r="F20" s="14" t="n"/>
      <c r="G20" s="14" t="n"/>
      <c r="H20" s="14" t="n"/>
    </row>
    <row r="21">
      <c r="A21" s="12" t="n">
        <v>13</v>
      </c>
      <c r="B21" s="17" t="inlineStr">
        <is>
          <t>Cara Sewa</t>
        </is>
      </c>
      <c r="C21" s="18" t="inlineStr">
        <is>
          <t>4 langkah + dokumen</t>
        </is>
      </c>
      <c r="D21" s="19" t="inlineStr">
        <is>
          <t>/cara-sewa</t>
        </is>
      </c>
      <c r="E21" s="12" t="inlineStr">
        <is>
          <t>Baru – Fase 1</t>
        </is>
      </c>
      <c r="F21" s="12" t="inlineStr">
        <is>
          <t>Konten</t>
        </is>
      </c>
      <c r="G21" s="12" t="inlineStr">
        <is>
          <t>3</t>
        </is>
      </c>
      <c r="H21" s="12" t="n"/>
    </row>
    <row r="22">
      <c r="A22" s="12" t="n">
        <v>14</v>
      </c>
      <c r="B22" s="17" t="inlineStr">
        <is>
          <t>Cara Sewa</t>
        </is>
      </c>
      <c r="C22" s="18" t="inlineStr">
        <is>
          <t>Simulasi biaya</t>
        </is>
      </c>
      <c r="D22" s="19" t="inlineStr">
        <is>
          <t>/cara-sewa/simulasi</t>
        </is>
      </c>
      <c r="E22" s="12" t="inlineStr">
        <is>
          <t>Fase 3</t>
        </is>
      </c>
      <c r="F22" s="12" t="inlineStr">
        <is>
          <t>Form</t>
        </is>
      </c>
      <c r="G22" s="12" t="inlineStr">
        <is>
          <t>3.1</t>
        </is>
      </c>
      <c r="H22" s="12" t="inlineStr">
        <is>
          <t>Di diagram tertulis Fase 2; disamakan dengan sheet Sitemap (Fase 3, belum ada desain)</t>
        </is>
      </c>
    </row>
    <row r="23">
      <c r="A23" s="14" t="n"/>
      <c r="B23" s="15" t="inlineStr">
        <is>
          <t>Tentang Kami</t>
        </is>
      </c>
      <c r="C23" s="14" t="n"/>
      <c r="D23" s="16" t="inlineStr">
        <is>
          <t>/tentang-kami</t>
        </is>
      </c>
      <c r="E23" s="14" t="n"/>
      <c r="F23" s="14" t="n"/>
      <c r="G23" s="14" t="n"/>
      <c r="H23" s="14" t="n"/>
    </row>
    <row r="24">
      <c r="A24" s="12" t="n">
        <v>15</v>
      </c>
      <c r="B24" s="17" t="inlineStr">
        <is>
          <t>Tentang Kami</t>
        </is>
      </c>
      <c r="C24" s="18" t="inlineStr">
        <is>
          <t>Profil &amp; legalitas</t>
        </is>
      </c>
      <c r="D24" s="19" t="inlineStr">
        <is>
          <t>/tentang-kami/</t>
        </is>
      </c>
      <c r="E24" s="12" t="inlineStr">
        <is>
          <t>Sudah ada</t>
        </is>
      </c>
      <c r="F24" s="12" t="inlineStr">
        <is>
          <t>Konten</t>
        </is>
      </c>
      <c r="G24" s="12" t="inlineStr">
        <is>
          <t>5</t>
        </is>
      </c>
      <c r="H24" s="12" t="n"/>
    </row>
    <row r="25">
      <c r="A25" s="12" t="n">
        <v>16</v>
      </c>
      <c r="B25" s="17" t="inlineStr">
        <is>
          <t>Tentang Kami</t>
        </is>
      </c>
      <c r="C25" s="18" t="inlineStr">
        <is>
          <t>Klien &amp; testimoni</t>
        </is>
      </c>
      <c r="D25" s="19" t="inlineStr">
        <is>
          <t>/tentang-kami/#klien</t>
        </is>
      </c>
      <c r="E25" s="12" t="inlineStr">
        <is>
          <t>Sudah ada</t>
        </is>
      </c>
      <c r="F25" s="12" t="inlineStr">
        <is>
          <t>Konten</t>
        </is>
      </c>
      <c r="G25" s="12" t="inlineStr">
        <is>
          <t>5.1</t>
        </is>
      </c>
      <c r="H25" s="12" t="n"/>
    </row>
    <row r="26">
      <c r="A26" s="14" t="n"/>
      <c r="B26" s="15" t="inlineStr">
        <is>
          <t>Bantuan</t>
        </is>
      </c>
      <c r="C26" s="14" t="n"/>
      <c r="D26" s="16" t="inlineStr">
        <is>
          <t>/bantuan/</t>
        </is>
      </c>
      <c r="E26" s="14" t="n"/>
      <c r="F26" s="14" t="n"/>
      <c r="G26" s="14" t="n"/>
      <c r="H26" s="14" t="n"/>
    </row>
    <row r="27">
      <c r="A27" s="12" t="n">
        <v>17</v>
      </c>
      <c r="B27" s="17" t="inlineStr">
        <is>
          <t>Bantuan</t>
        </is>
      </c>
      <c r="C27" s="18" t="inlineStr">
        <is>
          <t>Hub bantuan + pencarian</t>
        </is>
      </c>
      <c r="D27" s="19" t="inlineStr">
        <is>
          <t>/bantuan/</t>
        </is>
      </c>
      <c r="E27" s="12" t="inlineStr">
        <is>
          <t>Sudah ada</t>
        </is>
      </c>
      <c r="F27" s="12" t="inlineStr">
        <is>
          <t>Hub</t>
        </is>
      </c>
      <c r="G27" s="12" t="inlineStr">
        <is>
          <t>4</t>
        </is>
      </c>
      <c r="H27" s="12" t="n"/>
    </row>
    <row r="28">
      <c r="A28" s="12" t="n">
        <v>18</v>
      </c>
      <c r="B28" s="17" t="inlineStr">
        <is>
          <t>Bantuan</t>
        </is>
      </c>
      <c r="C28" s="18" t="inlineStr">
        <is>
          <t>FAQ</t>
        </is>
      </c>
      <c r="D28" s="19" t="inlineStr">
        <is>
          <t>/bantuan/#faq</t>
        </is>
      </c>
      <c r="E28" s="12" t="inlineStr">
        <is>
          <t>Sudah ada</t>
        </is>
      </c>
      <c r="F28" s="12" t="inlineStr">
        <is>
          <t>Konten</t>
        </is>
      </c>
      <c r="G28" s="12" t="inlineStr">
        <is>
          <t>4.1</t>
        </is>
      </c>
      <c r="H28" s="12" t="n"/>
    </row>
    <row r="29">
      <c r="A29" s="12" t="n">
        <v>19</v>
      </c>
      <c r="B29" s="17" t="inlineStr">
        <is>
          <t>Bantuan</t>
        </is>
      </c>
      <c r="C29" s="18" t="inlineStr">
        <is>
          <t>Servis &amp; bengkel ATPM</t>
        </is>
      </c>
      <c r="D29" s="19" t="inlineStr">
        <is>
          <t>/bantuan/servis</t>
        </is>
      </c>
      <c r="E29" s="12" t="inlineStr">
        <is>
          <t>Fase 2</t>
        </is>
      </c>
      <c r="F29" s="12" t="inlineStr">
        <is>
          <t>Konten</t>
        </is>
      </c>
      <c r="G29" s="12" t="inlineStr">
        <is>
          <t>4.2</t>
        </is>
      </c>
      <c r="H29" s="12" t="n"/>
    </row>
    <row r="30">
      <c r="A30" s="12" t="n">
        <v>20</v>
      </c>
      <c r="B30" s="17" t="inlineStr">
        <is>
          <t>Bantuan</t>
        </is>
      </c>
      <c r="C30" s="18" t="inlineStr">
        <is>
          <t>Bantuan darurat 24/7</t>
        </is>
      </c>
      <c r="D30" s="19" t="inlineStr">
        <is>
          <t>/bantuan/darurat</t>
        </is>
      </c>
      <c r="E30" s="12" t="inlineStr">
        <is>
          <t>Fase 2</t>
        </is>
      </c>
      <c r="F30" s="12" t="inlineStr">
        <is>
          <t>Konten</t>
        </is>
      </c>
      <c r="G30" s="12" t="inlineStr">
        <is>
          <t>4.3</t>
        </is>
      </c>
      <c r="H30" s="12" t="n"/>
    </row>
    <row r="31">
      <c r="A31" s="14" t="n"/>
      <c r="B31" s="15" t="inlineStr">
        <is>
          <t>Artikel</t>
        </is>
      </c>
      <c r="C31" s="14" t="n"/>
      <c r="D31" s="16" t="inlineStr">
        <is>
          <t>/artikel</t>
        </is>
      </c>
      <c r="E31" s="14" t="n"/>
      <c r="F31" s="14" t="n"/>
      <c r="G31" s="14" t="n"/>
      <c r="H31" s="14" t="n"/>
    </row>
    <row r="32">
      <c r="A32" s="12" t="n">
        <v>21</v>
      </c>
      <c r="B32" s="17" t="inlineStr">
        <is>
          <t>Artikel</t>
        </is>
      </c>
      <c r="C32" s="18" t="inlineStr">
        <is>
          <t>List artikel</t>
        </is>
      </c>
      <c r="D32" s="19" t="inlineStr">
        <is>
          <t>/artikel/</t>
        </is>
      </c>
      <c r="E32" s="12" t="inlineStr">
        <is>
          <t>Sudah ada</t>
        </is>
      </c>
      <c r="F32" s="12" t="inlineStr">
        <is>
          <t>Listing</t>
        </is>
      </c>
      <c r="G32" s="12" t="inlineStr">
        <is>
          <t>6</t>
        </is>
      </c>
      <c r="H32" s="12" t="n"/>
    </row>
    <row r="33">
      <c r="A33" s="12" t="n">
        <v>22</v>
      </c>
      <c r="B33" s="17" t="inlineStr">
        <is>
          <t>Artikel</t>
        </is>
      </c>
      <c r="C33" s="18" t="inlineStr">
        <is>
          <t>Detail artikel</t>
        </is>
      </c>
      <c r="D33" s="19" t="inlineStr">
        <is>
          <t>/artikel/{slug}/</t>
        </is>
      </c>
      <c r="E33" s="12" t="inlineStr">
        <is>
          <t>Sudah ada</t>
        </is>
      </c>
      <c r="F33" s="12" t="inlineStr">
        <is>
          <t>Konten</t>
        </is>
      </c>
      <c r="G33" s="12" t="inlineStr">
        <is>
          <t>6.1</t>
        </is>
      </c>
      <c r="H33" s="12" t="inlineStr">
        <is>
          <t>3 artikel berlabel draf, perlu ditinjau</t>
        </is>
      </c>
    </row>
    <row r="34">
      <c r="A34" s="14" t="n"/>
      <c r="B34" s="15" t="inlineStr">
        <is>
          <t>Konversi</t>
        </is>
      </c>
      <c r="C34" s="14" t="n"/>
      <c r="D34" s="16" t="n"/>
      <c r="E34" s="14" t="n"/>
      <c r="F34" s="14" t="n"/>
      <c r="G34" s="14" t="n"/>
      <c r="H34" s="14" t="n"/>
    </row>
    <row r="35">
      <c r="A35" s="12" t="n">
        <v>23</v>
      </c>
      <c r="B35" s="17" t="inlineStr">
        <is>
          <t>Konversi</t>
        </is>
      </c>
      <c r="C35" s="18" t="inlineStr">
        <is>
          <t>Pesan kendaraan</t>
        </is>
      </c>
      <c r="D35" s="19" t="inlineStr">
        <is>
          <t>/pesan/</t>
        </is>
      </c>
      <c r="E35" s="12" t="inlineStr">
        <is>
          <t>Sudah ada</t>
        </is>
      </c>
      <c r="F35" s="12" t="inlineStr">
        <is>
          <t>Form</t>
        </is>
      </c>
      <c r="G35" s="12" t="inlineStr">
        <is>
          <t>8</t>
        </is>
      </c>
      <c r="H35" s="12" t="n"/>
    </row>
    <row r="36">
      <c r="A36" s="12" t="n">
        <v>24</v>
      </c>
      <c r="B36" s="17" t="inlineStr">
        <is>
          <t>Konversi</t>
        </is>
      </c>
      <c r="C36" s="18" t="inlineStr">
        <is>
          <t>Terima kasih</t>
        </is>
      </c>
      <c r="D36" s="19" t="inlineStr">
        <is>
          <t>/terima-kasih/</t>
        </is>
      </c>
      <c r="E36" s="12" t="inlineStr">
        <is>
          <t>Sudah ada</t>
        </is>
      </c>
      <c r="F36" s="12" t="inlineStr">
        <is>
          <t>Form</t>
        </is>
      </c>
      <c r="G36" s="12" t="inlineStr">
        <is>
          <t>8.1</t>
        </is>
      </c>
      <c r="H36" s="12" t="n"/>
    </row>
    <row r="37">
      <c r="A37" s="12" t="n">
        <v>25</v>
      </c>
      <c r="B37" s="17" t="inlineStr">
        <is>
          <t>Konversi</t>
        </is>
      </c>
      <c r="C37" s="18" t="inlineStr">
        <is>
          <t>Kontak &amp; lokasi</t>
        </is>
      </c>
      <c r="D37" s="19" t="inlineStr">
        <is>
          <t>/kontak/</t>
        </is>
      </c>
      <c r="E37" s="12" t="inlineStr">
        <is>
          <t>Sudah ada</t>
        </is>
      </c>
      <c r="F37" s="12" t="inlineStr">
        <is>
          <t>Form</t>
        </is>
      </c>
      <c r="G37" s="12" t="inlineStr">
        <is>
          <t>7</t>
        </is>
      </c>
      <c r="H37" s="12" t="n"/>
    </row>
    <row r="38">
      <c r="A38" s="14" t="n"/>
      <c r="B38" s="15" t="inlineStr">
        <is>
          <t>Utilitas</t>
        </is>
      </c>
      <c r="C38" s="14" t="n"/>
      <c r="D38" s="16" t="n"/>
      <c r="E38" s="14" t="n"/>
      <c r="F38" s="14" t="n"/>
      <c r="G38" s="14" t="n"/>
      <c r="H38" s="14" t="n"/>
    </row>
    <row r="39">
      <c r="A39" s="12" t="n">
        <v>26</v>
      </c>
      <c r="B39" s="17" t="inlineStr">
        <is>
          <t>Utilitas</t>
        </is>
      </c>
      <c r="C39" s="18" t="inlineStr">
        <is>
          <t>Syarat &amp; ketentuan</t>
        </is>
      </c>
      <c r="D39" s="19" t="inlineStr">
        <is>
          <t>/syarat-ketentuan</t>
        </is>
      </c>
      <c r="E39" s="12" t="inlineStr">
        <is>
          <t>Baru – Fase 1</t>
        </is>
      </c>
      <c r="F39" s="12" t="inlineStr">
        <is>
          <t>Konten</t>
        </is>
      </c>
      <c r="G39" s="12" t="inlineStr">
        <is>
          <t>9</t>
        </is>
      </c>
      <c r="H39" s="12" t="n"/>
    </row>
    <row r="40">
      <c r="A40" s="12" t="n">
        <v>27</v>
      </c>
      <c r="B40" s="17" t="inlineStr">
        <is>
          <t>Utilitas</t>
        </is>
      </c>
      <c r="C40" s="18" t="inlineStr">
        <is>
          <t>Kebijakan privasi</t>
        </is>
      </c>
      <c r="D40" s="19" t="inlineStr">
        <is>
          <t>/kebijakan-privasi</t>
        </is>
      </c>
      <c r="E40" s="12" t="inlineStr">
        <is>
          <t>Baru – Fase 1</t>
        </is>
      </c>
      <c r="F40" s="12" t="inlineStr">
        <is>
          <t>Konten</t>
        </is>
      </c>
      <c r="G40" s="12" t="inlineStr">
        <is>
          <t>10</t>
        </is>
      </c>
      <c r="H40" s="12" t="n"/>
    </row>
    <row r="41">
      <c r="A41" s="12" t="n">
        <v>28</v>
      </c>
      <c r="B41" s="17" t="inlineStr">
        <is>
          <t>Utilitas</t>
        </is>
      </c>
      <c r="C41" s="18" t="inlineStr">
        <is>
          <t>Halaman 404</t>
        </is>
      </c>
      <c r="D41" s="19" t="inlineStr">
        <is>
          <t>/404</t>
        </is>
      </c>
      <c r="E41" s="12" t="inlineStr">
        <is>
          <t>Baru – Fase 1</t>
        </is>
      </c>
      <c r="F41" s="12" t="inlineStr">
        <is>
          <t>Konten</t>
        </is>
      </c>
      <c r="G41" s="12" t="inlineStr">
        <is>
          <t>11</t>
        </is>
      </c>
      <c r="H41" s="12" t="n"/>
    </row>
    <row r="42">
      <c r="A42" s="12" t="n">
        <v>29</v>
      </c>
      <c r="B42" s="17" t="inlineStr">
        <is>
          <t>Utilitas</t>
        </is>
      </c>
      <c r="C42" s="18" t="inlineStr">
        <is>
          <t>sitemap.xml · robots.txt</t>
        </is>
      </c>
      <c r="D42" s="19" t="inlineStr">
        <is>
          <t>/sitemap.xml · /robots.txt</t>
        </is>
      </c>
      <c r="E42" s="12" t="inlineStr">
        <is>
          <t>Baru – Fase 1</t>
        </is>
      </c>
      <c r="F42" s="12" t="inlineStr">
        <is>
          <t>—</t>
        </is>
      </c>
      <c r="G42" s="12" t="inlineStr">
        <is>
          <t>12</t>
        </is>
      </c>
      <c r="H42" s="12" t="n"/>
    </row>
    <row r="44">
      <c r="B44" s="20" t="inlineStr">
        <is>
          <t>Keterangan status</t>
        </is>
      </c>
    </row>
    <row r="45">
      <c r="B45" s="21" t="inlineStr">
        <is>
          <t>Sudah ada</t>
        </is>
      </c>
      <c r="C45" s="4" t="inlineStr">
        <is>
          <t>Desain/halaman sudah jadi</t>
        </is>
      </c>
    </row>
    <row r="46">
      <c r="B46" s="22" t="inlineStr">
        <is>
          <t>Baru – Fase 1</t>
        </is>
      </c>
      <c r="C46" s="4" t="inlineStr">
        <is>
          <t>Wajib saat launch</t>
        </is>
      </c>
    </row>
    <row r="47">
      <c r="B47" s="23" t="inlineStr">
        <is>
          <t>Fase 2</t>
        </is>
      </c>
      <c r="C47" s="4" t="inlineStr">
        <is>
          <t>Mulai dari anchor/section, dipecah kemudian</t>
        </is>
      </c>
    </row>
    <row r="48">
      <c r="B48" s="24" t="inlineStr">
        <is>
          <t>Fase 3</t>
        </is>
      </c>
      <c r="C48" s="4" t="inlineStr">
        <is>
          <t>Ide pengembangan, belum ada desain</t>
        </is>
      </c>
    </row>
    <row r="50">
      <c r="B50" s="20" t="inlineStr">
        <is>
          <t>Template</t>
        </is>
      </c>
    </row>
    <row r="51">
      <c r="B51" s="4" t="inlineStr">
        <is>
          <t>Home</t>
        </is>
      </c>
      <c r="C51" s="11" t="inlineStr">
        <is>
          <t>Halaman depan: memperkenalkan Jennete, armada unggulan, cara sewa, dan mengarahkan ke penawaran</t>
        </is>
      </c>
    </row>
    <row r="52">
      <c r="B52" s="4" t="inlineStr">
        <is>
          <t>Hub</t>
        </is>
      </c>
      <c r="C52" s="11" t="inlineStr">
        <is>
          <t>Halaman induk satu topik: merangkum beberapa sub-topik lalu mengarahkan ke detailnya</t>
        </is>
      </c>
    </row>
    <row r="53">
      <c r="B53" s="4" t="inlineStr">
        <is>
          <t>Listing</t>
        </is>
      </c>
      <c r="C53" s="11" t="inlineStr">
        <is>
          <t>Daftar banyak item dengan filter/kategori untuk dipilih</t>
        </is>
      </c>
    </row>
    <row r="54">
      <c r="B54" s="4" t="inlineStr">
        <is>
          <t>Detail</t>
        </is>
      </c>
      <c r="C54" s="11" t="inlineStr">
        <is>
          <t>Satu item secara lengkap: galeri, spesifikasi, harga/paket, CTA</t>
        </is>
      </c>
    </row>
    <row r="55">
      <c r="B55" s="4" t="inlineStr">
        <is>
          <t>Konten</t>
        </is>
      </c>
      <c r="C55" s="11" t="inlineStr">
        <is>
          <t>Halaman informasi berbasis teks (judul, paragraf, accordion)</t>
        </is>
      </c>
    </row>
    <row r="56">
      <c r="B56" s="4" t="inlineStr">
        <is>
          <t>Form</t>
        </is>
      </c>
      <c r="C56" s="11" t="inlineStr">
        <is>
          <t>Halaman yang tujuannya mengumpulkan data/lead</t>
        </is>
      </c>
    </row>
    <row r="57">
      <c r="B57" s="4" t="inlineStr">
        <is>
          <t>—</t>
        </is>
      </c>
      <c r="C57" s="11" t="inlineStr">
        <is>
          <t>Bukan halaman visual (file teknis)</t>
        </is>
      </c>
    </row>
  </sheetData>
  <conditionalFormatting sqref="E5:E42">
    <cfRule type="expression" priority="1" dxfId="0">
      <formula>$E5="Sudah ada"</formula>
    </cfRule>
    <cfRule type="expression" priority="2" dxfId="1">
      <formula>$E5="Baru – Fase 1"</formula>
    </cfRule>
    <cfRule type="expression" priority="3" dxfId="2">
      <formula>$E5="Fase 2"</formula>
    </cfRule>
    <cfRule type="expression" priority="4" dxfId="3">
      <formula>$E5="Fase 3"</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3"/>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 customWidth="1" min="3" max="3"/>
    <col width="30" customWidth="1" min="4" max="4"/>
    <col width="38" customWidth="1" min="5" max="5"/>
    <col width="30" customWidth="1" min="6" max="6"/>
    <col width="15" customWidth="1" min="7" max="7"/>
    <col width="12" customWidth="1" min="8" max="8"/>
    <col width="34" customWidth="1" min="9" max="9"/>
    <col width="46" customWidth="1" min="10" max="10"/>
    <col width="22" customWidth="1" min="11" max="11"/>
    <col width="14" customWidth="1" min="12" max="12"/>
    <col width="9" customWidth="1" min="13" max="13"/>
    <col width="40" customWidth="1" min="14" max="14"/>
  </cols>
  <sheetData>
    <row r="1">
      <c r="A1" s="1" t="inlineStr">
        <is>
          <t>Jennete Rent — Rekomendasi Sitemap</t>
        </is>
      </c>
    </row>
    <row r="2">
      <c r="A2" s="2" t="inlineStr">
        <is>
          <t>Disusun dari index.html, solusi-bisnis.html, wuling-cortez-darion.html (21 Okt 2026). Kolom Status bisa diubah lewat dropdown; sheet Ringkasan menghitung ulang otomatis.</t>
        </is>
      </c>
    </row>
    <row r="4" ht="30" customHeight="1">
      <c r="A4" s="25" t="inlineStr">
        <is>
          <t>ID</t>
        </is>
      </c>
      <c r="B4" s="25" t="inlineStr">
        <is>
          <t>Level</t>
        </is>
      </c>
      <c r="C4" s="25" t="inlineStr">
        <is>
          <t>Parent ID</t>
        </is>
      </c>
      <c r="D4" s="25" t="inlineStr">
        <is>
          <t>Halaman</t>
        </is>
      </c>
      <c r="E4" s="25" t="inlineStr">
        <is>
          <t>URL rekomendasi</t>
        </is>
      </c>
      <c r="F4" s="25" t="inlineStr">
        <is>
          <t>Kondisi saat ini</t>
        </is>
      </c>
      <c r="G4" s="25" t="inlineStr">
        <is>
          <t>Status</t>
        </is>
      </c>
      <c r="H4" s="25" t="inlineStr">
        <is>
          <t>Template</t>
        </is>
      </c>
      <c r="I4" s="25" t="inlineStr">
        <is>
          <t>Komponen utama (design system)</t>
        </is>
      </c>
      <c r="J4" s="25" t="inlineStr">
        <is>
          <t>Konten / tujuan halaman</t>
        </is>
      </c>
      <c r="K4" s="25" t="inlineStr">
        <is>
          <t>Posisi di menu</t>
        </is>
      </c>
      <c r="L4" s="25" t="inlineStr">
        <is>
          <t>Harga mulai (Rp)</t>
        </is>
      </c>
      <c r="M4" s="25" t="inlineStr">
        <is>
          <t>Satuan</t>
        </is>
      </c>
      <c r="N4" s="25" t="inlineStr">
        <is>
          <t>Catatan</t>
        </is>
      </c>
    </row>
    <row r="5">
      <c r="A5" s="12" t="inlineStr">
        <is>
          <t>0</t>
        </is>
      </c>
      <c r="B5" s="12" t="n">
        <v>0</v>
      </c>
      <c r="C5" s="12" t="n"/>
      <c r="D5" s="26" t="inlineStr">
        <is>
          <t>Beranda</t>
        </is>
      </c>
      <c r="E5" s="12" t="inlineStr">
        <is>
          <t>/</t>
        </is>
      </c>
      <c r="F5" s="12" t="inlineStr">
        <is>
          <t>index.html</t>
        </is>
      </c>
      <c r="G5" s="12" t="inlineStr">
        <is>
          <t>Sudah ada</t>
        </is>
      </c>
      <c r="H5" s="12" t="inlineStr">
        <is>
          <t>Home</t>
        </is>
      </c>
      <c r="I5" s="12" t="inlineStr">
        <is>
          <t>hero slider, trust strip, svc showcase, vcard rail, how timeline, FAQ, post card</t>
        </is>
      </c>
      <c r="J5" s="12" t="inlineStr">
        <is>
          <t>Pintu masuk utama: positioning sewa korporat, armada unggulan, cara sewa, FAQ</t>
        </is>
      </c>
      <c r="K5" s="12" t="inlineStr">
        <is>
          <t>Logo / Header</t>
        </is>
      </c>
      <c r="L5" s="27" t="n"/>
      <c r="M5" s="12" t="n"/>
      <c r="N5" s="12" t="inlineStr">
        <is>
          <t>Ubah link anchor ke halaman baru setelah halaman tersedia</t>
        </is>
      </c>
    </row>
    <row r="6">
      <c r="A6" s="12" t="inlineStr">
        <is>
          <t>1</t>
        </is>
      </c>
      <c r="B6" s="12" t="n">
        <v>1</v>
      </c>
      <c r="C6" s="12" t="inlineStr">
        <is>
          <t>0</t>
        </is>
      </c>
      <c r="D6" s="28" t="inlineStr">
        <is>
          <t>Solusi Bisnis</t>
        </is>
      </c>
      <c r="E6" s="12" t="inlineStr">
        <is>
          <t>/solusi-bisnis</t>
        </is>
      </c>
      <c r="F6" s="12" t="inlineStr">
        <is>
          <t>solusi-bisnis.html</t>
        </is>
      </c>
      <c r="G6" s="12" t="inlineStr">
        <is>
          <t>Sudah ada</t>
        </is>
      </c>
      <c r="H6" s="12" t="inlineStr">
        <is>
          <t>Hub</t>
        </is>
      </c>
      <c r="I6" s="12" t="inlineStr">
        <is>
          <t>sb-hero, srow, cmp table, needs, proof/testimoni, cta-band</t>
        </is>
      </c>
      <c r="J6" s="12" t="inlineStr">
        <is>
          <t>Hub 4 solusi + perbandingan + bukti klien</t>
        </is>
      </c>
      <c r="K6" s="12" t="inlineStr">
        <is>
          <t>Header (mega menu)</t>
        </is>
      </c>
      <c r="L6" s="27" t="n"/>
      <c r="M6" s="12" t="n"/>
      <c r="N6" s="12" t="n"/>
    </row>
    <row r="7">
      <c r="A7" s="12" t="inlineStr">
        <is>
          <t>1.1</t>
        </is>
      </c>
      <c r="B7" s="12" t="n">
        <v>2</v>
      </c>
      <c r="C7" s="12" t="inlineStr">
        <is>
          <t>1</t>
        </is>
      </c>
      <c r="D7" s="29" t="inlineStr">
        <is>
          <t>Sewa jangka panjang</t>
        </is>
      </c>
      <c r="E7" s="12" t="inlineStr">
        <is>
          <t>/solusi-bisnis/sewa-jangka-panjang/</t>
        </is>
      </c>
      <c r="F7" s="12" t="inlineStr">
        <is>
          <t>solusi-bisnis/sewa-jangka-panjang/index.html</t>
        </is>
      </c>
      <c r="G7" s="12" t="inlineStr">
        <is>
          <t>Sudah ada</t>
        </is>
      </c>
      <c r="H7" s="12" t="inlineStr">
        <is>
          <t>Hub</t>
        </is>
      </c>
      <c r="I7" s="12" t="inlineStr">
        <is>
          <t>sb-hero.sub, sol-intro + ticks, needs, sim-grid vcard, inc-list/svc, how, FAQ, sol-other, cta-band</t>
        </is>
      </c>
      <c r="J7" s="12" t="inlineStr">
        <is>
          <t>Halaman detail solusi untuk perusahaan</t>
        </is>
      </c>
      <c r="K7" s="12" t="inlineStr">
        <is>
          <t>Mega menu Solusi, Footer, tombol "Pelajari detail" di hub</t>
        </is>
      </c>
      <c r="L7" s="27" t="n"/>
      <c r="M7" s="12" t="n"/>
      <c r="N7" s="12" t="inlineStr">
        <is>
          <t>Dibuat 21 Okt 2026; ada catatan "Perlu dilengkapi" di halaman sopir &amp; instansi</t>
        </is>
      </c>
    </row>
    <row r="8">
      <c r="A8" s="12" t="inlineStr">
        <is>
          <t>1.2</t>
        </is>
      </c>
      <c r="B8" s="12" t="n">
        <v>2</v>
      </c>
      <c r="C8" s="12" t="inlineStr">
        <is>
          <t>1</t>
        </is>
      </c>
      <c r="D8" s="29" t="inlineStr">
        <is>
          <t>Kendaraan operasional + sopir</t>
        </is>
      </c>
      <c r="E8" s="12" t="inlineStr">
        <is>
          <t>/solusi-bisnis/operasional-sopir/</t>
        </is>
      </c>
      <c r="F8" s="12" t="inlineStr">
        <is>
          <t>solusi-bisnis/operasional-sopir/index.html</t>
        </is>
      </c>
      <c r="G8" s="12" t="inlineStr">
        <is>
          <t>Sudah ada</t>
        </is>
      </c>
      <c r="H8" s="12" t="inlineStr">
        <is>
          <t>Hub</t>
        </is>
      </c>
      <c r="I8" s="12" t="inlineStr">
        <is>
          <t>sb-hero.sub, sol-intro + ticks, needs, sim-grid vcard, inc-list/svc, how, FAQ, sol-other, cta-band</t>
        </is>
      </c>
      <c r="J8" s="12" t="inlineStr">
        <is>
          <t>Halaman detail solusi untuk perusahaan</t>
        </is>
      </c>
      <c r="K8" s="12" t="inlineStr">
        <is>
          <t>Mega menu Solusi, Footer, tombol "Pelajari detail" di hub</t>
        </is>
      </c>
      <c r="L8" s="27" t="n"/>
      <c r="M8" s="12" t="n"/>
      <c r="N8" s="12" t="inlineStr">
        <is>
          <t>Dibuat 21 Okt 2026; ada catatan "Perlu dilengkapi" di halaman sopir &amp; instansi</t>
        </is>
      </c>
    </row>
    <row r="9">
      <c r="A9" s="12" t="inlineStr">
        <is>
          <t>1.3</t>
        </is>
      </c>
      <c r="B9" s="12" t="n">
        <v>2</v>
      </c>
      <c r="C9" s="12" t="inlineStr">
        <is>
          <t>1</t>
        </is>
      </c>
      <c r="D9" s="29" t="inlineStr">
        <is>
          <t>Pengadaan instansi (e-Katalog LKPP)</t>
        </is>
      </c>
      <c r="E9" s="12" t="inlineStr">
        <is>
          <t>/solusi-bisnis/pengadaan-instansi/</t>
        </is>
      </c>
      <c r="F9" s="12" t="inlineStr">
        <is>
          <t>solusi-bisnis/pengadaan-instansi/index.html</t>
        </is>
      </c>
      <c r="G9" s="12" t="inlineStr">
        <is>
          <t>Sudah ada</t>
        </is>
      </c>
      <c r="H9" s="12" t="inlineStr">
        <is>
          <t>Hub</t>
        </is>
      </c>
      <c r="I9" s="12" t="inlineStr">
        <is>
          <t>sb-hero.sub, sol-intro + ticks, needs, sim-grid vcard, inc-list/svc, how, FAQ, sol-other, cta-band</t>
        </is>
      </c>
      <c r="J9" s="12" t="inlineStr">
        <is>
          <t>Halaman detail solusi untuk instansi pemerintah</t>
        </is>
      </c>
      <c r="K9" s="12" t="inlineStr">
        <is>
          <t>Mega menu Solusi, Footer, tombol "Pelajari detail" di hub</t>
        </is>
      </c>
      <c r="L9" s="27" t="n"/>
      <c r="M9" s="12" t="n"/>
      <c r="N9" s="12" t="inlineStr">
        <is>
          <t>Dibuat 21 Okt 2026; ada catatan "Perlu dilengkapi" di halaman sopir &amp; instansi</t>
        </is>
      </c>
    </row>
    <row r="10">
      <c r="A10" s="12" t="inlineStr">
        <is>
          <t>1.4</t>
        </is>
      </c>
      <c r="B10" s="12" t="n">
        <v>2</v>
      </c>
      <c r="C10" s="12" t="inlineStr">
        <is>
          <t>1</t>
        </is>
      </c>
      <c r="D10" s="29" t="inlineStr">
        <is>
          <t>Layanan purna sewa</t>
        </is>
      </c>
      <c r="E10" s="12" t="inlineStr">
        <is>
          <t>/solusi-bisnis/layanan-purna-sewa/</t>
        </is>
      </c>
      <c r="F10" s="12" t="inlineStr">
        <is>
          <t>solusi-bisnis/layanan-purna-sewa/index.html</t>
        </is>
      </c>
      <c r="G10" s="12" t="inlineStr">
        <is>
          <t>Sudah ada</t>
        </is>
      </c>
      <c r="H10" s="12" t="inlineStr">
        <is>
          <t>Hub</t>
        </is>
      </c>
      <c r="I10" s="12" t="inlineStr">
        <is>
          <t>sb-hero.sub, sol-intro + ticks, needs, sim-grid vcard, inc-list/svc, how, FAQ, sol-other, cta-band</t>
        </is>
      </c>
      <c r="J10" s="12" t="inlineStr">
        <is>
          <t>Halaman detail solusi untuk semua kontrak</t>
        </is>
      </c>
      <c r="K10" s="12" t="inlineStr">
        <is>
          <t>Mega menu Solusi, Footer, tombol "Pelajari detail" di hub</t>
        </is>
      </c>
      <c r="L10" s="27" t="n"/>
      <c r="M10" s="12" t="n"/>
      <c r="N10" s="12" t="inlineStr">
        <is>
          <t>Dibuat 21 Okt 2026; ada catatan "Perlu dilengkapi" di halaman sopir &amp; instansi</t>
        </is>
      </c>
    </row>
    <row r="11">
      <c r="A11" s="12" t="inlineStr">
        <is>
          <t>2</t>
        </is>
      </c>
      <c r="B11" s="12" t="n">
        <v>1</v>
      </c>
      <c r="C11" s="12" t="inlineStr">
        <is>
          <t>0</t>
        </is>
      </c>
      <c r="D11" s="28" t="inlineStr">
        <is>
          <t>Armada</t>
        </is>
      </c>
      <c r="E11" s="12" t="inlineStr">
        <is>
          <t>/armada/</t>
        </is>
      </c>
      <c r="F11" s="12" t="inlineStr">
        <is>
          <t>armada/index.html</t>
        </is>
      </c>
      <c r="G11" s="12" t="inlineStr">
        <is>
          <t>Sudah ada</t>
        </is>
      </c>
      <c r="H11" s="12" t="inlineStr">
        <is>
          <t>Listing</t>
        </is>
      </c>
      <c r="I11" s="12" t="inlineStr">
        <is>
          <t>seg (Mobil/Motor), fm-chips filter kategori, vcard grid</t>
        </is>
      </c>
      <c r="J11" s="12" t="inlineStr">
        <is>
          <t>Katalog semua unit dengan filter kategori &amp; bahan bakar</t>
        </is>
      </c>
      <c r="K11" s="12" t="inlineStr">
        <is>
          <t>Header (mega menu)</t>
        </is>
      </c>
      <c r="L11" s="27" t="n"/>
      <c r="M11" s="12" t="n"/>
      <c r="N11" s="12" t="inlineStr">
        <is>
          <t>Gantikan item menu "Pesan Kendaraan"</t>
        </is>
      </c>
    </row>
    <row r="12">
      <c r="A12" s="12" t="inlineStr">
        <is>
          <t>2.1</t>
        </is>
      </c>
      <c r="B12" s="12" t="n">
        <v>2</v>
      </c>
      <c r="C12" s="12" t="inlineStr">
        <is>
          <t>2</t>
        </is>
      </c>
      <c r="D12" s="29" t="inlineStr">
        <is>
          <t>Mobil</t>
        </is>
      </c>
      <c r="E12" s="12" t="inlineStr">
        <is>
          <t>/armada/mobil/</t>
        </is>
      </c>
      <c r="F12" s="12" t="inlineStr">
        <is>
          <t>armada/mobil/index.html</t>
        </is>
      </c>
      <c r="G12" s="12" t="inlineStr">
        <is>
          <t>Sudah ada</t>
        </is>
      </c>
      <c r="H12" s="12" t="inlineStr">
        <is>
          <t>Listing</t>
        </is>
      </c>
      <c r="I12" s="12" t="inlineStr">
        <is>
          <t>vcard grid, filter MPV/SUV/City Car/Premium</t>
        </is>
      </c>
      <c r="J12" s="12" t="inlineStr">
        <is>
          <t>Listing mobil</t>
        </is>
      </c>
      <c r="K12" s="12" t="inlineStr">
        <is>
          <t>Mega menu Armada, Footer</t>
        </is>
      </c>
      <c r="L12" s="27" t="n"/>
      <c r="M12" s="12" t="n"/>
      <c r="N12" s="12" t="n"/>
    </row>
    <row r="13">
      <c r="A13" s="12" t="inlineStr">
        <is>
          <t>2.2</t>
        </is>
      </c>
      <c r="B13" s="12" t="n">
        <v>2</v>
      </c>
      <c r="C13" s="12" t="inlineStr">
        <is>
          <t>2</t>
        </is>
      </c>
      <c r="D13" s="29" t="inlineStr">
        <is>
          <t>Motor</t>
        </is>
      </c>
      <c r="E13" s="12" t="inlineStr">
        <is>
          <t>/armada/motor/</t>
        </is>
      </c>
      <c r="F13" s="12" t="inlineStr">
        <is>
          <t>armada/motor/index.html</t>
        </is>
      </c>
      <c r="G13" s="12" t="inlineStr">
        <is>
          <t>Sudah ada</t>
        </is>
      </c>
      <c r="H13" s="12" t="inlineStr">
        <is>
          <t>Listing</t>
        </is>
      </c>
      <c r="I13" s="12" t="inlineStr">
        <is>
          <t>vcard grid, filter Matic/Bebek</t>
        </is>
      </c>
      <c r="J13" s="12" t="inlineStr">
        <is>
          <t>Listing motor (sewa mingguan)</t>
        </is>
      </c>
      <c r="K13" s="12" t="inlineStr">
        <is>
          <t>Mega menu Armada, Footer</t>
        </is>
      </c>
      <c r="L13" s="27" t="n"/>
      <c r="M13" s="12" t="n"/>
      <c r="N13" s="12" t="inlineStr">
        <is>
          <t>Lihat sheet Keputusan: target motor B2B/B2C</t>
        </is>
      </c>
    </row>
    <row r="14">
      <c r="A14" s="12" t="inlineStr">
        <is>
          <t>2.3</t>
        </is>
      </c>
      <c r="B14" s="12" t="n">
        <v>2</v>
      </c>
      <c r="C14" s="12" t="inlineStr">
        <is>
          <t>2.1</t>
        </is>
      </c>
      <c r="D14" s="29" t="inlineStr">
        <is>
          <t>Mobil listrik</t>
        </is>
      </c>
      <c r="E14" s="12" t="inlineStr">
        <is>
          <t>/armada/mobil/listrik/</t>
        </is>
      </c>
      <c r="F14" s="12" t="inlineStr">
        <is>
          <t>armada/mobil/listrik/index.html</t>
        </is>
      </c>
      <c r="G14" s="12" t="inlineStr">
        <is>
          <t>Sudah ada</t>
        </is>
      </c>
      <c r="H14" s="12" t="inlineStr">
        <is>
          <t>Listing</t>
        </is>
      </c>
      <c r="I14" s="12" t="inlineStr">
        <is>
          <t>vcard grid + intro SEO</t>
        </is>
      </c>
      <c r="J14" s="12" t="inlineStr">
        <is>
          <t>Landing SEO "sewa mobil listrik" (EV &amp; PHEV)</t>
        </is>
      </c>
      <c r="K14" s="12" t="inlineStr">
        <is>
          <t>Footer</t>
        </is>
      </c>
      <c r="L14" s="27" t="n"/>
      <c r="M14" s="12" t="n"/>
      <c r="N14" s="12" t="inlineStr">
        <is>
          <t>Bisa berupa filter yang diberi URL sendiri</t>
        </is>
      </c>
    </row>
    <row r="15">
      <c r="A15" s="12" t="inlineStr">
        <is>
          <t>2.4</t>
        </is>
      </c>
      <c r="B15" s="12" t="n">
        <v>2</v>
      </c>
      <c r="C15" s="12" t="inlineStr">
        <is>
          <t>2.1</t>
        </is>
      </c>
      <c r="D15" s="29" t="inlineStr">
        <is>
          <t>Mobil premium</t>
        </is>
      </c>
      <c r="E15" s="12" t="inlineStr">
        <is>
          <t>/armada/mobil/premium/</t>
        </is>
      </c>
      <c r="F15" s="12" t="inlineStr">
        <is>
          <t>armada/mobil/premium/index.html</t>
        </is>
      </c>
      <c r="G15" s="12" t="inlineStr">
        <is>
          <t>Sudah ada</t>
        </is>
      </c>
      <c r="H15" s="12" t="inlineStr">
        <is>
          <t>Listing</t>
        </is>
      </c>
      <c r="I15" s="12" t="inlineStr">
        <is>
          <t>vcard grid, harga "sesuai penawaran"</t>
        </is>
      </c>
      <c r="J15" s="12" t="inlineStr">
        <is>
          <t>Landing unit premium untuk eksekutif</t>
        </is>
      </c>
      <c r="K15" s="12" t="inlineStr">
        <is>
          <t>Mega menu Armada</t>
        </is>
      </c>
      <c r="L15" s="27" t="n"/>
      <c r="M15" s="12" t="n"/>
      <c r="N15" s="12" t="n"/>
    </row>
    <row r="16">
      <c r="A16" s="12" t="inlineStr">
        <is>
          <t>2.D01</t>
        </is>
      </c>
      <c r="B16" s="12" t="n">
        <v>3</v>
      </c>
      <c r="C16" s="12" t="inlineStr">
        <is>
          <t>2.1</t>
        </is>
      </c>
      <c r="D16" s="30" t="inlineStr">
        <is>
          <t>Wuling Cortez Darion</t>
        </is>
      </c>
      <c r="E16" s="12" t="inlineStr">
        <is>
          <t>/armada/wuling-cortez-darion</t>
        </is>
      </c>
      <c r="F16" s="12" t="inlineStr">
        <is>
          <t>wuling-cortez-darion.html</t>
        </is>
      </c>
      <c r="G16" s="12" t="inlineStr">
        <is>
          <t>Sudah ada</t>
        </is>
      </c>
      <c r="H16" s="12" t="inlineStr">
        <is>
          <t>Detail</t>
        </is>
      </c>
      <c r="I16" s="12" t="inlineStr">
        <is>
          <t>gal-stage, buy panel, dt-specs, dt-spec-sec, inc-list, sim-grid, FAQ, cta-band</t>
        </is>
      </c>
      <c r="J16" s="12" t="inlineStr">
        <is>
          <t>Detail unit (MPV · Listrik): galeri, spesifikasi, paket sewa, unit serupa</t>
        </is>
      </c>
      <c r="K16" s="12" t="inlineStr">
        <is>
          <t>Kartu katalog / mega preview</t>
        </is>
      </c>
      <c r="L16" s="27" t="n">
        <v>1500000</v>
      </c>
      <c r="M16" s="12" t="inlineStr">
        <is>
          <t>hari</t>
        </is>
      </c>
      <c r="N16" s="12" t="n"/>
    </row>
    <row r="17">
      <c r="A17" s="12" t="inlineStr">
        <is>
          <t>2.D02</t>
        </is>
      </c>
      <c r="B17" s="12" t="n">
        <v>3</v>
      </c>
      <c r="C17" s="12" t="inlineStr">
        <is>
          <t>2.1</t>
        </is>
      </c>
      <c r="D17" s="30" t="inlineStr">
        <is>
          <t>Chery Tiggo 8 CSH</t>
        </is>
      </c>
      <c r="E17" s="12" t="inlineStr">
        <is>
          <t>/armada/chery-tiggo-8-csh</t>
        </is>
      </c>
      <c r="F17" s="12" t="inlineStr">
        <is>
          <t>Hanya kartu di katalog</t>
        </is>
      </c>
      <c r="G17" s="12" t="inlineStr">
        <is>
          <t>Baru – Fase 1</t>
        </is>
      </c>
      <c r="H17" s="12" t="inlineStr">
        <is>
          <t>Detail</t>
        </is>
      </c>
      <c r="I17" s="12" t="inlineStr">
        <is>
          <t>gal-stage, buy panel, dt-specs, dt-spec-sec, inc-list, sim-grid, FAQ, cta-band</t>
        </is>
      </c>
      <c r="J17" s="12" t="inlineStr">
        <is>
          <t>Detail unit (SUV · PHEV): galeri, spesifikasi, paket sewa, unit serupa</t>
        </is>
      </c>
      <c r="K17" s="12" t="inlineStr">
        <is>
          <t>Kartu katalog / mega preview</t>
        </is>
      </c>
      <c r="L17" s="27" t="n">
        <v>1500000</v>
      </c>
      <c r="M17" s="12" t="inlineStr">
        <is>
          <t>hari</t>
        </is>
      </c>
      <c r="N17" s="12" t="n"/>
    </row>
    <row r="18">
      <c r="A18" s="12" t="inlineStr">
        <is>
          <t>2.D03</t>
        </is>
      </c>
      <c r="B18" s="12" t="n">
        <v>3</v>
      </c>
      <c r="C18" s="12" t="inlineStr">
        <is>
          <t>2.1</t>
        </is>
      </c>
      <c r="D18" s="30" t="inlineStr">
        <is>
          <t>BYD Sealion 7</t>
        </is>
      </c>
      <c r="E18" s="12" t="inlineStr">
        <is>
          <t>/armada/byd-sealion-7</t>
        </is>
      </c>
      <c r="F18" s="12" t="inlineStr">
        <is>
          <t>Hanya kartu di katalog</t>
        </is>
      </c>
      <c r="G18" s="12" t="inlineStr">
        <is>
          <t>Baru – Fase 1</t>
        </is>
      </c>
      <c r="H18" s="12" t="inlineStr">
        <is>
          <t>Detail</t>
        </is>
      </c>
      <c r="I18" s="12" t="inlineStr">
        <is>
          <t>gal-stage, buy panel, dt-specs, dt-spec-sec, inc-list, sim-grid, FAQ, cta-band</t>
        </is>
      </c>
      <c r="J18" s="12" t="inlineStr">
        <is>
          <t>Detail unit (SUV · Listrik): galeri, spesifikasi, paket sewa, unit serupa</t>
        </is>
      </c>
      <c r="K18" s="12" t="inlineStr">
        <is>
          <t>Kartu katalog / mega preview</t>
        </is>
      </c>
      <c r="L18" s="27" t="n">
        <v>2500000</v>
      </c>
      <c r="M18" s="12" t="inlineStr">
        <is>
          <t>hari</t>
        </is>
      </c>
      <c r="N18" s="12" t="n"/>
    </row>
    <row r="19">
      <c r="A19" s="12" t="inlineStr">
        <is>
          <t>2.D04</t>
        </is>
      </c>
      <c r="B19" s="12" t="n">
        <v>3</v>
      </c>
      <c r="C19" s="12" t="inlineStr">
        <is>
          <t>2.1</t>
        </is>
      </c>
      <c r="D19" s="30" t="inlineStr">
        <is>
          <t>Jetour T2</t>
        </is>
      </c>
      <c r="E19" s="12" t="inlineStr">
        <is>
          <t>/armada/jetour-t2</t>
        </is>
      </c>
      <c r="F19" s="12" t="inlineStr">
        <is>
          <t>Hanya kartu di katalog</t>
        </is>
      </c>
      <c r="G19" s="12" t="inlineStr">
        <is>
          <t>Baru – Fase 1</t>
        </is>
      </c>
      <c r="H19" s="12" t="inlineStr">
        <is>
          <t>Detail</t>
        </is>
      </c>
      <c r="I19" s="12" t="inlineStr">
        <is>
          <t>gal-stage, buy panel, dt-specs, dt-spec-sec, inc-list, sim-grid, FAQ, cta-band</t>
        </is>
      </c>
      <c r="J19" s="12" t="inlineStr">
        <is>
          <t>Detail unit (SUV · Bensin): galeri, spesifikasi, paket sewa, unit serupa</t>
        </is>
      </c>
      <c r="K19" s="12" t="inlineStr">
        <is>
          <t>Kartu katalog / mega preview</t>
        </is>
      </c>
      <c r="L19" s="27" t="n">
        <v>1750000</v>
      </c>
      <c r="M19" s="12" t="inlineStr">
        <is>
          <t>hari</t>
        </is>
      </c>
      <c r="N19" s="12" t="n"/>
    </row>
    <row r="20">
      <c r="A20" s="12" t="inlineStr">
        <is>
          <t>2.D05</t>
        </is>
      </c>
      <c r="B20" s="12" t="n">
        <v>3</v>
      </c>
      <c r="C20" s="12" t="inlineStr">
        <is>
          <t>2.1</t>
        </is>
      </c>
      <c r="D20" s="30" t="inlineStr">
        <is>
          <t>Jaecoo J5 EV</t>
        </is>
      </c>
      <c r="E20" s="12" t="inlineStr">
        <is>
          <t>/armada/jaecoo-j5-ev</t>
        </is>
      </c>
      <c r="F20" s="12" t="inlineStr">
        <is>
          <t>Hanya kartu di katalog</t>
        </is>
      </c>
      <c r="G20" s="12" t="inlineStr">
        <is>
          <t>Baru – Fase 1</t>
        </is>
      </c>
      <c r="H20" s="12" t="inlineStr">
        <is>
          <t>Detail</t>
        </is>
      </c>
      <c r="I20" s="12" t="inlineStr">
        <is>
          <t>gal-stage, buy panel, dt-specs, dt-spec-sec, inc-list, sim-grid, FAQ, cta-band</t>
        </is>
      </c>
      <c r="J20" s="12" t="inlineStr">
        <is>
          <t>Detail unit (SUV · Listrik): galeri, spesifikasi, paket sewa, unit serupa</t>
        </is>
      </c>
      <c r="K20" s="12" t="inlineStr">
        <is>
          <t>Kartu katalog / mega preview</t>
        </is>
      </c>
      <c r="L20" s="27" t="n">
        <v>1250000</v>
      </c>
      <c r="M20" s="12" t="inlineStr">
        <is>
          <t>hari</t>
        </is>
      </c>
      <c r="N20" s="12" t="n"/>
    </row>
    <row r="21">
      <c r="A21" s="12" t="inlineStr">
        <is>
          <t>2.D06</t>
        </is>
      </c>
      <c r="B21" s="12" t="n">
        <v>3</v>
      </c>
      <c r="C21" s="12" t="inlineStr">
        <is>
          <t>2.1</t>
        </is>
      </c>
      <c r="D21" s="30" t="inlineStr">
        <is>
          <t>Chery J6 iWD</t>
        </is>
      </c>
      <c r="E21" s="12" t="inlineStr">
        <is>
          <t>/armada/chery-j6-iwd</t>
        </is>
      </c>
      <c r="F21" s="12" t="inlineStr">
        <is>
          <t>Hanya kartu di katalog</t>
        </is>
      </c>
      <c r="G21" s="12" t="inlineStr">
        <is>
          <t>Baru – Fase 1</t>
        </is>
      </c>
      <c r="H21" s="12" t="inlineStr">
        <is>
          <t>Detail</t>
        </is>
      </c>
      <c r="I21" s="12" t="inlineStr">
        <is>
          <t>gal-stage, buy panel, dt-specs, dt-spec-sec, inc-list, sim-grid, FAQ, cta-band</t>
        </is>
      </c>
      <c r="J21" s="12" t="inlineStr">
        <is>
          <t>Detail unit (SUV · Listrik): galeri, spesifikasi, paket sewa, unit serupa</t>
        </is>
      </c>
      <c r="K21" s="12" t="inlineStr">
        <is>
          <t>Kartu katalog / mega preview</t>
        </is>
      </c>
      <c r="L21" s="27" t="n">
        <v>1750000</v>
      </c>
      <c r="M21" s="12" t="inlineStr">
        <is>
          <t>hari</t>
        </is>
      </c>
      <c r="N21" s="12" t="n"/>
    </row>
    <row r="22">
      <c r="A22" s="12" t="inlineStr">
        <is>
          <t>2.D07</t>
        </is>
      </c>
      <c r="B22" s="12" t="n">
        <v>3</v>
      </c>
      <c r="C22" s="12" t="inlineStr">
        <is>
          <t>2.1</t>
        </is>
      </c>
      <c r="D22" s="30" t="inlineStr">
        <is>
          <t>BYD Atto 1</t>
        </is>
      </c>
      <c r="E22" s="12" t="inlineStr">
        <is>
          <t>/armada/byd-atto-1</t>
        </is>
      </c>
      <c r="F22" s="12" t="inlineStr">
        <is>
          <t>Hanya kartu di katalog</t>
        </is>
      </c>
      <c r="G22" s="12" t="inlineStr">
        <is>
          <t>Baru – Fase 1</t>
        </is>
      </c>
      <c r="H22" s="12" t="inlineStr">
        <is>
          <t>Detail</t>
        </is>
      </c>
      <c r="I22" s="12" t="inlineStr">
        <is>
          <t>gal-stage, buy panel, dt-specs, dt-spec-sec, inc-list, sim-grid, FAQ, cta-band</t>
        </is>
      </c>
      <c r="J22" s="12" t="inlineStr">
        <is>
          <t>Detail unit (City Car · Listrik): galeri, spesifikasi, paket sewa, unit serupa</t>
        </is>
      </c>
      <c r="K22" s="12" t="inlineStr">
        <is>
          <t>Kartu katalog / mega preview</t>
        </is>
      </c>
      <c r="L22" s="27" t="n">
        <v>950000</v>
      </c>
      <c r="M22" s="12" t="inlineStr">
        <is>
          <t>hari</t>
        </is>
      </c>
      <c r="N22" s="12" t="n"/>
    </row>
    <row r="23">
      <c r="A23" s="12" t="inlineStr">
        <is>
          <t>2.D08</t>
        </is>
      </c>
      <c r="B23" s="12" t="n">
        <v>3</v>
      </c>
      <c r="C23" s="12" t="inlineStr">
        <is>
          <t>2.1</t>
        </is>
      </c>
      <c r="D23" s="30" t="inlineStr">
        <is>
          <t>Wuling AIRA EV</t>
        </is>
      </c>
      <c r="E23" s="12" t="inlineStr">
        <is>
          <t>/armada/wuling-aira-ev</t>
        </is>
      </c>
      <c r="F23" s="12" t="inlineStr">
        <is>
          <t>Hanya kartu di katalog</t>
        </is>
      </c>
      <c r="G23" s="12" t="inlineStr">
        <is>
          <t>Baru – Fase 1</t>
        </is>
      </c>
      <c r="H23" s="12" t="inlineStr">
        <is>
          <t>Detail</t>
        </is>
      </c>
      <c r="I23" s="12" t="inlineStr">
        <is>
          <t>gal-stage, buy panel, dt-specs, dt-spec-sec, inc-list, sim-grid, FAQ, cta-band</t>
        </is>
      </c>
      <c r="J23" s="12" t="inlineStr">
        <is>
          <t>Detail unit (City Car · Listrik): galeri, spesifikasi, paket sewa, unit serupa</t>
        </is>
      </c>
      <c r="K23" s="12" t="inlineStr">
        <is>
          <t>Kartu katalog / mega preview</t>
        </is>
      </c>
      <c r="L23" s="27" t="n">
        <v>750000</v>
      </c>
      <c r="M23" s="12" t="inlineStr">
        <is>
          <t>hari</t>
        </is>
      </c>
      <c r="N23" s="12" t="n"/>
    </row>
    <row r="24">
      <c r="A24" s="12" t="inlineStr">
        <is>
          <t>2.D09</t>
        </is>
      </c>
      <c r="B24" s="12" t="n">
        <v>3</v>
      </c>
      <c r="C24" s="12" t="inlineStr">
        <is>
          <t>2.1</t>
        </is>
      </c>
      <c r="D24" s="30" t="inlineStr">
        <is>
          <t>Toyota Alphard</t>
        </is>
      </c>
      <c r="E24" s="12" t="inlineStr">
        <is>
          <t>/armada/toyota-alphard</t>
        </is>
      </c>
      <c r="F24" s="12" t="inlineStr">
        <is>
          <t>Hanya kartu di katalog</t>
        </is>
      </c>
      <c r="G24" s="12" t="inlineStr">
        <is>
          <t>Baru – Fase 1</t>
        </is>
      </c>
      <c r="H24" s="12" t="inlineStr">
        <is>
          <t>Detail</t>
        </is>
      </c>
      <c r="I24" s="12" t="inlineStr">
        <is>
          <t>gal-stage, buy panel, dt-specs, dt-spec-sec, inc-list, sim-grid, FAQ, cta-band</t>
        </is>
      </c>
      <c r="J24" s="12" t="inlineStr">
        <is>
          <t>Detail unit (Premium): galeri, spesifikasi, paket sewa, unit serupa</t>
        </is>
      </c>
      <c r="K24" s="12" t="inlineStr">
        <is>
          <t>Kartu katalog / mega preview</t>
        </is>
      </c>
      <c r="L24" s="27" t="n"/>
      <c r="M24" s="12" t="n"/>
      <c r="N24" s="12" t="inlineStr">
        <is>
          <t>Harga sesuai penawaran (tidak ada harga di data situs)</t>
        </is>
      </c>
    </row>
    <row r="25">
      <c r="A25" s="12" t="inlineStr">
        <is>
          <t>2.D10</t>
        </is>
      </c>
      <c r="B25" s="12" t="n">
        <v>3</v>
      </c>
      <c r="C25" s="12" t="inlineStr">
        <is>
          <t>2.1</t>
        </is>
      </c>
      <c r="D25" s="30" t="inlineStr">
        <is>
          <t>Toyota Voxy</t>
        </is>
      </c>
      <c r="E25" s="12" t="inlineStr">
        <is>
          <t>/armada/toyota-voxy</t>
        </is>
      </c>
      <c r="F25" s="12" t="inlineStr">
        <is>
          <t>Hanya kartu di katalog</t>
        </is>
      </c>
      <c r="G25" s="12" t="inlineStr">
        <is>
          <t>Baru – Fase 1</t>
        </is>
      </c>
      <c r="H25" s="12" t="inlineStr">
        <is>
          <t>Detail</t>
        </is>
      </c>
      <c r="I25" s="12" t="inlineStr">
        <is>
          <t>gal-stage, buy panel, dt-specs, dt-spec-sec, inc-list, sim-grid, FAQ, cta-band</t>
        </is>
      </c>
      <c r="J25" s="12" t="inlineStr">
        <is>
          <t>Detail unit (Premium): galeri, spesifikasi, paket sewa, unit serupa</t>
        </is>
      </c>
      <c r="K25" s="12" t="inlineStr">
        <is>
          <t>Kartu katalog / mega preview</t>
        </is>
      </c>
      <c r="L25" s="27" t="n"/>
      <c r="M25" s="12" t="n"/>
      <c r="N25" s="12" t="inlineStr">
        <is>
          <t>Harga sesuai penawaran (tidak ada harga di data situs)</t>
        </is>
      </c>
    </row>
    <row r="26">
      <c r="A26" s="12" t="inlineStr">
        <is>
          <t>2.D11</t>
        </is>
      </c>
      <c r="B26" s="12" t="n">
        <v>3</v>
      </c>
      <c r="C26" s="12" t="inlineStr">
        <is>
          <t>2.1</t>
        </is>
      </c>
      <c r="D26" s="30" t="inlineStr">
        <is>
          <t>Honda Odyssey</t>
        </is>
      </c>
      <c r="E26" s="12" t="inlineStr">
        <is>
          <t>/armada/honda-odyssey</t>
        </is>
      </c>
      <c r="F26" s="12" t="inlineStr">
        <is>
          <t>Hanya kartu di katalog</t>
        </is>
      </c>
      <c r="G26" s="12" t="inlineStr">
        <is>
          <t>Baru – Fase 1</t>
        </is>
      </c>
      <c r="H26" s="12" t="inlineStr">
        <is>
          <t>Detail</t>
        </is>
      </c>
      <c r="I26" s="12" t="inlineStr">
        <is>
          <t>gal-stage, buy panel, dt-specs, dt-spec-sec, inc-list, sim-grid, FAQ, cta-band</t>
        </is>
      </c>
      <c r="J26" s="12" t="inlineStr">
        <is>
          <t>Detail unit (Premium): galeri, spesifikasi, paket sewa, unit serupa</t>
        </is>
      </c>
      <c r="K26" s="12" t="inlineStr">
        <is>
          <t>Kartu katalog / mega preview</t>
        </is>
      </c>
      <c r="L26" s="27" t="n"/>
      <c r="M26" s="12" t="n"/>
      <c r="N26" s="12" t="inlineStr">
        <is>
          <t>Harga sesuai penawaran (tidak ada harga di data situs)</t>
        </is>
      </c>
    </row>
    <row r="27">
      <c r="A27" s="12" t="inlineStr">
        <is>
          <t>2.D12</t>
        </is>
      </c>
      <c r="B27" s="12" t="n">
        <v>3</v>
      </c>
      <c r="C27" s="12" t="inlineStr">
        <is>
          <t>2.1</t>
        </is>
      </c>
      <c r="D27" s="30" t="inlineStr">
        <is>
          <t>Toyota Camry</t>
        </is>
      </c>
      <c r="E27" s="12" t="inlineStr">
        <is>
          <t>/armada/toyota-camry</t>
        </is>
      </c>
      <c r="F27" s="12" t="inlineStr">
        <is>
          <t>Hanya kartu di katalog</t>
        </is>
      </c>
      <c r="G27" s="12" t="inlineStr">
        <is>
          <t>Baru – Fase 1</t>
        </is>
      </c>
      <c r="H27" s="12" t="inlineStr">
        <is>
          <t>Detail</t>
        </is>
      </c>
      <c r="I27" s="12" t="inlineStr">
        <is>
          <t>gal-stage, buy panel, dt-specs, dt-spec-sec, inc-list, sim-grid, FAQ, cta-band</t>
        </is>
      </c>
      <c r="J27" s="12" t="inlineStr">
        <is>
          <t>Detail unit (Premium): galeri, spesifikasi, paket sewa, unit serupa</t>
        </is>
      </c>
      <c r="K27" s="12" t="inlineStr">
        <is>
          <t>Kartu katalog / mega preview</t>
        </is>
      </c>
      <c r="L27" s="27" t="n"/>
      <c r="M27" s="12" t="n"/>
      <c r="N27" s="12" t="inlineStr">
        <is>
          <t>Harga sesuai penawaran (tidak ada harga di data situs)</t>
        </is>
      </c>
    </row>
    <row r="28">
      <c r="A28" s="12" t="inlineStr">
        <is>
          <t>2.D13</t>
        </is>
      </c>
      <c r="B28" s="12" t="n">
        <v>3</v>
      </c>
      <c r="C28" s="12" t="inlineStr">
        <is>
          <t>2.1</t>
        </is>
      </c>
      <c r="D28" s="30" t="inlineStr">
        <is>
          <t>Honda Accord</t>
        </is>
      </c>
      <c r="E28" s="12" t="inlineStr">
        <is>
          <t>/armada/honda-accord</t>
        </is>
      </c>
      <c r="F28" s="12" t="inlineStr">
        <is>
          <t>Hanya kartu di katalog</t>
        </is>
      </c>
      <c r="G28" s="12" t="inlineStr">
        <is>
          <t>Baru – Fase 1</t>
        </is>
      </c>
      <c r="H28" s="12" t="inlineStr">
        <is>
          <t>Detail</t>
        </is>
      </c>
      <c r="I28" s="12" t="inlineStr">
        <is>
          <t>gal-stage, buy panel, dt-specs, dt-spec-sec, inc-list, sim-grid, FAQ, cta-band</t>
        </is>
      </c>
      <c r="J28" s="12" t="inlineStr">
        <is>
          <t>Detail unit (Premium): galeri, spesifikasi, paket sewa, unit serupa</t>
        </is>
      </c>
      <c r="K28" s="12" t="inlineStr">
        <is>
          <t>Kartu katalog / mega preview</t>
        </is>
      </c>
      <c r="L28" s="27" t="n"/>
      <c r="M28" s="12" t="n"/>
      <c r="N28" s="12" t="inlineStr">
        <is>
          <t>Harga sesuai penawaran (tidak ada harga di data situs)</t>
        </is>
      </c>
    </row>
    <row r="29">
      <c r="A29" s="12" t="inlineStr">
        <is>
          <t>2.D14</t>
        </is>
      </c>
      <c r="B29" s="12" t="n">
        <v>3</v>
      </c>
      <c r="C29" s="12" t="inlineStr">
        <is>
          <t>2.1</t>
        </is>
      </c>
      <c r="D29" s="30" t="inlineStr">
        <is>
          <t>Hyundai Palisade</t>
        </is>
      </c>
      <c r="E29" s="12" t="inlineStr">
        <is>
          <t>/armada/hyundai-palisade</t>
        </is>
      </c>
      <c r="F29" s="12" t="inlineStr">
        <is>
          <t>Hanya kartu di katalog</t>
        </is>
      </c>
      <c r="G29" s="12" t="inlineStr">
        <is>
          <t>Baru – Fase 1</t>
        </is>
      </c>
      <c r="H29" s="12" t="inlineStr">
        <is>
          <t>Detail</t>
        </is>
      </c>
      <c r="I29" s="12" t="inlineStr">
        <is>
          <t>gal-stage, buy panel, dt-specs, dt-spec-sec, inc-list, sim-grid, FAQ, cta-band</t>
        </is>
      </c>
      <c r="J29" s="12" t="inlineStr">
        <is>
          <t>Detail unit (Premium): galeri, spesifikasi, paket sewa, unit serupa</t>
        </is>
      </c>
      <c r="K29" s="12" t="inlineStr">
        <is>
          <t>Kartu katalog / mega preview</t>
        </is>
      </c>
      <c r="L29" s="27" t="n"/>
      <c r="M29" s="12" t="n"/>
      <c r="N29" s="12" t="inlineStr">
        <is>
          <t>Harga sesuai penawaran (tidak ada harga di data situs)</t>
        </is>
      </c>
    </row>
    <row r="30">
      <c r="A30" s="12" t="inlineStr">
        <is>
          <t>2.D15</t>
        </is>
      </c>
      <c r="B30" s="12" t="n">
        <v>3</v>
      </c>
      <c r="C30" s="12" t="inlineStr">
        <is>
          <t>2.2</t>
        </is>
      </c>
      <c r="D30" s="30" t="inlineStr">
        <is>
          <t>Yamaha Aerox 155 VVA</t>
        </is>
      </c>
      <c r="E30" s="12" t="inlineStr">
        <is>
          <t>/armada/yamaha-aerox-155-vva</t>
        </is>
      </c>
      <c r="F30" s="12" t="inlineStr">
        <is>
          <t>Hanya kartu di katalog</t>
        </is>
      </c>
      <c r="G30" s="12" t="inlineStr">
        <is>
          <t>Baru – Fase 1</t>
        </is>
      </c>
      <c r="H30" s="12" t="inlineStr">
        <is>
          <t>Detail</t>
        </is>
      </c>
      <c r="I30" s="12" t="inlineStr">
        <is>
          <t>gal-stage, buy panel, dt-specs, dt-spec-sec, inc-list, sim-grid, FAQ, cta-band</t>
        </is>
      </c>
      <c r="J30" s="12" t="inlineStr">
        <is>
          <t>Detail unit (Matic · Bensin): galeri, spesifikasi, paket sewa, unit serupa</t>
        </is>
      </c>
      <c r="K30" s="12" t="inlineStr">
        <is>
          <t>Kartu katalog / mega preview</t>
        </is>
      </c>
      <c r="L30" s="27" t="n">
        <v>750000</v>
      </c>
      <c r="M30" s="12" t="inlineStr">
        <is>
          <t>minggu</t>
        </is>
      </c>
      <c r="N30" s="12" t="n"/>
    </row>
    <row r="31">
      <c r="A31" s="12" t="inlineStr">
        <is>
          <t>2.D16</t>
        </is>
      </c>
      <c r="B31" s="12" t="n">
        <v>3</v>
      </c>
      <c r="C31" s="12" t="inlineStr">
        <is>
          <t>2.2</t>
        </is>
      </c>
      <c r="D31" s="30" t="inlineStr">
        <is>
          <t>Suzuki NEX II 115 Fi</t>
        </is>
      </c>
      <c r="E31" s="12" t="inlineStr">
        <is>
          <t>/armada/suzuki-nex-ii-115-fi</t>
        </is>
      </c>
      <c r="F31" s="12" t="inlineStr">
        <is>
          <t>Hanya kartu di katalog</t>
        </is>
      </c>
      <c r="G31" s="12" t="inlineStr">
        <is>
          <t>Baru – Fase 1</t>
        </is>
      </c>
      <c r="H31" s="12" t="inlineStr">
        <is>
          <t>Detail</t>
        </is>
      </c>
      <c r="I31" s="12" t="inlineStr">
        <is>
          <t>gal-stage, buy panel, dt-specs, dt-spec-sec, inc-list, sim-grid, FAQ, cta-band</t>
        </is>
      </c>
      <c r="J31" s="12" t="inlineStr">
        <is>
          <t>Detail unit (Matic · Bensin): galeri, spesifikasi, paket sewa, unit serupa</t>
        </is>
      </c>
      <c r="K31" s="12" t="inlineStr">
        <is>
          <t>Kartu katalog / mega preview</t>
        </is>
      </c>
      <c r="L31" s="27" t="n">
        <v>500000</v>
      </c>
      <c r="M31" s="12" t="inlineStr">
        <is>
          <t>minggu</t>
        </is>
      </c>
      <c r="N31" s="12" t="n"/>
    </row>
    <row r="32">
      <c r="A32" s="12" t="inlineStr">
        <is>
          <t>2.D17</t>
        </is>
      </c>
      <c r="B32" s="12" t="n">
        <v>3</v>
      </c>
      <c r="C32" s="12" t="inlineStr">
        <is>
          <t>2.2</t>
        </is>
      </c>
      <c r="D32" s="30" t="inlineStr">
        <is>
          <t>Yamaha Fino 125</t>
        </is>
      </c>
      <c r="E32" s="12" t="inlineStr">
        <is>
          <t>/armada/yamaha-fino-125</t>
        </is>
      </c>
      <c r="F32" s="12" t="inlineStr">
        <is>
          <t>Hanya kartu di katalog</t>
        </is>
      </c>
      <c r="G32" s="12" t="inlineStr">
        <is>
          <t>Baru – Fase 1</t>
        </is>
      </c>
      <c r="H32" s="12" t="inlineStr">
        <is>
          <t>Detail</t>
        </is>
      </c>
      <c r="I32" s="12" t="inlineStr">
        <is>
          <t>gal-stage, buy panel, dt-specs, dt-spec-sec, inc-list, sim-grid, FAQ, cta-band</t>
        </is>
      </c>
      <c r="J32" s="12" t="inlineStr">
        <is>
          <t>Detail unit (Matic · Bensin): galeri, spesifikasi, paket sewa, unit serupa</t>
        </is>
      </c>
      <c r="K32" s="12" t="inlineStr">
        <is>
          <t>Kartu katalog / mega preview</t>
        </is>
      </c>
      <c r="L32" s="27" t="n">
        <v>500000</v>
      </c>
      <c r="M32" s="12" t="inlineStr">
        <is>
          <t>minggu</t>
        </is>
      </c>
      <c r="N32" s="12" t="n"/>
    </row>
    <row r="33">
      <c r="A33" s="12" t="inlineStr">
        <is>
          <t>2.D18</t>
        </is>
      </c>
      <c r="B33" s="12" t="n">
        <v>3</v>
      </c>
      <c r="C33" s="12" t="inlineStr">
        <is>
          <t>2.2</t>
        </is>
      </c>
      <c r="D33" s="30" t="inlineStr">
        <is>
          <t>Yamaha X-Ride 125</t>
        </is>
      </c>
      <c r="E33" s="12" t="inlineStr">
        <is>
          <t>/armada/yamaha-x-ride-125</t>
        </is>
      </c>
      <c r="F33" s="12" t="inlineStr">
        <is>
          <t>Hanya kartu di katalog</t>
        </is>
      </c>
      <c r="G33" s="12" t="inlineStr">
        <is>
          <t>Baru – Fase 1</t>
        </is>
      </c>
      <c r="H33" s="12" t="inlineStr">
        <is>
          <t>Detail</t>
        </is>
      </c>
      <c r="I33" s="12" t="inlineStr">
        <is>
          <t>gal-stage, buy panel, dt-specs, dt-spec-sec, inc-list, sim-grid, FAQ, cta-band</t>
        </is>
      </c>
      <c r="J33" s="12" t="inlineStr">
        <is>
          <t>Detail unit (Matic · Bensin): galeri, spesifikasi, paket sewa, unit serupa</t>
        </is>
      </c>
      <c r="K33" s="12" t="inlineStr">
        <is>
          <t>Kartu katalog / mega preview</t>
        </is>
      </c>
      <c r="L33" s="27" t="n">
        <v>500000</v>
      </c>
      <c r="M33" s="12" t="inlineStr">
        <is>
          <t>minggu</t>
        </is>
      </c>
      <c r="N33" s="12" t="n"/>
    </row>
    <row r="34">
      <c r="A34" s="12" t="inlineStr">
        <is>
          <t>2.D19</t>
        </is>
      </c>
      <c r="B34" s="12" t="n">
        <v>3</v>
      </c>
      <c r="C34" s="12" t="inlineStr">
        <is>
          <t>2.2</t>
        </is>
      </c>
      <c r="D34" s="30" t="inlineStr">
        <is>
          <t>Yamaha Jupiter MX 150</t>
        </is>
      </c>
      <c r="E34" s="12" t="inlineStr">
        <is>
          <t>/armada/yamaha-jupiter-mx-150</t>
        </is>
      </c>
      <c r="F34" s="12" t="inlineStr">
        <is>
          <t>Hanya kartu di katalog</t>
        </is>
      </c>
      <c r="G34" s="12" t="inlineStr">
        <is>
          <t>Baru – Fase 1</t>
        </is>
      </c>
      <c r="H34" s="12" t="inlineStr">
        <is>
          <t>Detail</t>
        </is>
      </c>
      <c r="I34" s="12" t="inlineStr">
        <is>
          <t>gal-stage, buy panel, dt-specs, dt-spec-sec, inc-list, sim-grid, FAQ, cta-band</t>
        </is>
      </c>
      <c r="J34" s="12" t="inlineStr">
        <is>
          <t>Detail unit (Bebek · Bensin): galeri, spesifikasi, paket sewa, unit serupa</t>
        </is>
      </c>
      <c r="K34" s="12" t="inlineStr">
        <is>
          <t>Kartu katalog / mega preview</t>
        </is>
      </c>
      <c r="L34" s="27" t="n">
        <v>475000</v>
      </c>
      <c r="M34" s="12" t="inlineStr">
        <is>
          <t>minggu</t>
        </is>
      </c>
      <c r="N34" s="12" t="n"/>
    </row>
    <row r="35">
      <c r="A35" s="12" t="inlineStr">
        <is>
          <t>2.D20</t>
        </is>
      </c>
      <c r="B35" s="12" t="n">
        <v>3</v>
      </c>
      <c r="C35" s="12" t="inlineStr">
        <is>
          <t>2.2</t>
        </is>
      </c>
      <c r="D35" s="30" t="inlineStr">
        <is>
          <t>Yamaha Jupiter Z1 CW 115</t>
        </is>
      </c>
      <c r="E35" s="12" t="inlineStr">
        <is>
          <t>/armada/yamaha-jupiter-z1-cw-115</t>
        </is>
      </c>
      <c r="F35" s="12" t="inlineStr">
        <is>
          <t>Hanya kartu di katalog</t>
        </is>
      </c>
      <c r="G35" s="12" t="inlineStr">
        <is>
          <t>Baru – Fase 1</t>
        </is>
      </c>
      <c r="H35" s="12" t="inlineStr">
        <is>
          <t>Detail</t>
        </is>
      </c>
      <c r="I35" s="12" t="inlineStr">
        <is>
          <t>gal-stage, buy panel, dt-specs, dt-spec-sec, inc-list, sim-grid, FAQ, cta-band</t>
        </is>
      </c>
      <c r="J35" s="12" t="inlineStr">
        <is>
          <t>Detail unit (Bebek · Bensin): galeri, spesifikasi, paket sewa, unit serupa</t>
        </is>
      </c>
      <c r="K35" s="12" t="inlineStr">
        <is>
          <t>Kartu katalog / mega preview</t>
        </is>
      </c>
      <c r="L35" s="27" t="n">
        <v>450000</v>
      </c>
      <c r="M35" s="12" t="inlineStr">
        <is>
          <t>minggu</t>
        </is>
      </c>
      <c r="N35" s="12" t="n"/>
    </row>
    <row r="36">
      <c r="A36" s="12" t="inlineStr">
        <is>
          <t>2.D21</t>
        </is>
      </c>
      <c r="B36" s="12" t="n">
        <v>3</v>
      </c>
      <c r="C36" s="12" t="inlineStr">
        <is>
          <t>2.2</t>
        </is>
      </c>
      <c r="D36" s="30" t="inlineStr">
        <is>
          <t>Yamaha Vega Force 115 CW</t>
        </is>
      </c>
      <c r="E36" s="12" t="inlineStr">
        <is>
          <t>/armada/yamaha-vega-force-115-cw</t>
        </is>
      </c>
      <c r="F36" s="12" t="inlineStr">
        <is>
          <t>Hanya kartu di katalog</t>
        </is>
      </c>
      <c r="G36" s="12" t="inlineStr">
        <is>
          <t>Baru – Fase 1</t>
        </is>
      </c>
      <c r="H36" s="12" t="inlineStr">
        <is>
          <t>Detail</t>
        </is>
      </c>
      <c r="I36" s="12" t="inlineStr">
        <is>
          <t>gal-stage, buy panel, dt-specs, dt-spec-sec, inc-list, sim-grid, FAQ, cta-band</t>
        </is>
      </c>
      <c r="J36" s="12" t="inlineStr">
        <is>
          <t>Detail unit (Bebek · Bensin): galeri, spesifikasi, paket sewa, unit serupa</t>
        </is>
      </c>
      <c r="K36" s="12" t="inlineStr">
        <is>
          <t>Kartu katalog / mega preview</t>
        </is>
      </c>
      <c r="L36" s="27" t="n">
        <v>350000</v>
      </c>
      <c r="M36" s="12" t="inlineStr">
        <is>
          <t>minggu</t>
        </is>
      </c>
      <c r="N36" s="12" t="n"/>
    </row>
    <row r="37">
      <c r="A37" s="12" t="inlineStr">
        <is>
          <t>3</t>
        </is>
      </c>
      <c r="B37" s="12" t="n">
        <v>1</v>
      </c>
      <c r="C37" s="12" t="inlineStr">
        <is>
          <t>0</t>
        </is>
      </c>
      <c r="D37" s="28" t="inlineStr">
        <is>
          <t>Cara Sewa</t>
        </is>
      </c>
      <c r="E37" s="12" t="inlineStr">
        <is>
          <t>/cara-sewa</t>
        </is>
      </c>
      <c r="F37" s="12" t="inlineStr">
        <is>
          <t>Sementara: section #cara-sewa + #dokumen di bantuan/</t>
        </is>
      </c>
      <c r="G37" s="12" t="inlineStr">
        <is>
          <t>Baru – Fase 1</t>
        </is>
      </c>
      <c r="H37" s="12" t="inlineStr">
        <is>
          <t>Konten</t>
        </is>
      </c>
      <c r="I37" s="12" t="inlineStr">
        <is>
          <t>how timeline, steps, accordion dokumen</t>
        </is>
      </c>
      <c r="J37" s="12" t="inlineStr">
        <is>
          <t>4 langkah sewa korporat + dokumen yang dibutuhkan</t>
        </is>
      </c>
      <c r="K37" s="12" t="inlineStr">
        <is>
          <t>Header, Mega Bantuan, Footer</t>
        </is>
      </c>
      <c r="L37" s="27" t="n"/>
      <c r="M37" s="12" t="n"/>
      <c r="N37" s="12" t="inlineStr">
        <is>
          <t>Gabungkan "Dokumen yang perlu disiapkan" ke sini</t>
        </is>
      </c>
    </row>
    <row r="38">
      <c r="A38" s="12" t="inlineStr">
        <is>
          <t>3.1</t>
        </is>
      </c>
      <c r="B38" s="12" t="n">
        <v>2</v>
      </c>
      <c r="C38" s="12" t="inlineStr">
        <is>
          <t>3</t>
        </is>
      </c>
      <c r="D38" s="29" t="inlineStr">
        <is>
          <t>Simulasi biaya</t>
        </is>
      </c>
      <c r="E38" s="12" t="inlineStr">
        <is>
          <t>/cara-sewa/simulasi</t>
        </is>
      </c>
      <c r="F38" s="12" t="inlineStr">
        <is>
          <t>—</t>
        </is>
      </c>
      <c r="G38" s="12" t="inlineStr">
        <is>
          <t>Fase 3</t>
        </is>
      </c>
      <c r="H38" s="12" t="inlineStr">
        <is>
          <t>Form</t>
        </is>
      </c>
      <c r="I38" s="12" t="inlineStr">
        <is>
          <t>fm-seg, fm-chips durasi, fm-step jumlah unit</t>
        </is>
      </c>
      <c r="J38" s="12" t="inlineStr">
        <is>
          <t>Estimasi biaya sewa per durasi &amp; jumlah unit</t>
        </is>
      </c>
      <c r="K38" s="12" t="inlineStr">
        <is>
          <t>Cara Sewa</t>
        </is>
      </c>
      <c r="L38" s="27" t="n"/>
      <c r="M38" s="12" t="n"/>
      <c r="N38" s="12" t="inlineStr">
        <is>
          <t>Ide tambahan, belum ada di desain</t>
        </is>
      </c>
    </row>
    <row r="39">
      <c r="A39" s="12" t="inlineStr">
        <is>
          <t>4</t>
        </is>
      </c>
      <c r="B39" s="12" t="n">
        <v>1</v>
      </c>
      <c r="C39" s="12" t="inlineStr">
        <is>
          <t>0</t>
        </is>
      </c>
      <c r="D39" s="28" t="inlineStr">
        <is>
          <t>Bantuan</t>
        </is>
      </c>
      <c r="E39" s="12" t="inlineStr">
        <is>
          <t>/bantuan/</t>
        </is>
      </c>
      <c r="F39" s="12" t="inlineStr">
        <is>
          <t>bantuan/index.html</t>
        </is>
      </c>
      <c r="G39" s="12" t="inlineStr">
        <is>
          <t>Sudah ada</t>
        </is>
      </c>
      <c r="H39" s="12" t="inlineStr">
        <is>
          <t>Hub</t>
        </is>
      </c>
      <c r="I39" s="12" t="inlineStr">
        <is>
          <t>hl links + ic-tile, promo-card darurat</t>
        </is>
      </c>
      <c r="J39" s="12" t="inlineStr">
        <is>
          <t>Hub bantuan sebelum &amp; selama sewa</t>
        </is>
      </c>
      <c r="K39" s="12" t="inlineStr">
        <is>
          <t>Header (mega menu)</t>
        </is>
      </c>
      <c r="L39" s="27" t="n"/>
      <c r="M39" s="12" t="n"/>
      <c r="N39" s="12" t="inlineStr">
        <is>
          <t>Fase 1: mega menu langsung ke FAQ/Kontak</t>
        </is>
      </c>
    </row>
    <row r="40">
      <c r="A40" s="12" t="inlineStr">
        <is>
          <t>4.1</t>
        </is>
      </c>
      <c r="B40" s="12" t="n">
        <v>2</v>
      </c>
      <c r="C40" s="12" t="inlineStr">
        <is>
          <t>4</t>
        </is>
      </c>
      <c r="D40" s="29" t="inlineStr">
        <is>
          <t>FAQ</t>
        </is>
      </c>
      <c r="E40" s="12" t="inlineStr">
        <is>
          <t>/bantuan/#faq</t>
        </is>
      </c>
      <c r="F40" s="12" t="inlineStr">
        <is>
          <t>Section #faq di bantuan/ (15 pertanyaan, pencarian)</t>
        </is>
      </c>
      <c r="G40" s="12" t="inlineStr">
        <is>
          <t>Sudah ada</t>
        </is>
      </c>
      <c r="H40" s="12" t="inlineStr">
        <is>
          <t>Konten</t>
        </is>
      </c>
      <c r="I40" s="12" t="inlineStr">
        <is>
          <t>accordion (details.acc), tabs kategori</t>
        </is>
      </c>
      <c r="J40" s="12" t="inlineStr">
        <is>
          <t>Pertanyaan umum: harga, durasi, layanan, dokumen</t>
        </is>
      </c>
      <c r="K40" s="12" t="inlineStr">
        <is>
          <t>Mega Bantuan, Footer</t>
        </is>
      </c>
      <c r="L40" s="27" t="n"/>
      <c r="M40" s="12" t="n"/>
      <c r="N40" s="12" t="n"/>
    </row>
    <row r="41">
      <c r="A41" s="12" t="inlineStr">
        <is>
          <t>4.2</t>
        </is>
      </c>
      <c r="B41" s="12" t="n">
        <v>2</v>
      </c>
      <c r="C41" s="12" t="inlineStr">
        <is>
          <t>4</t>
        </is>
      </c>
      <c r="D41" s="29" t="inlineStr">
        <is>
          <t>Servis &amp; jaringan bengkel ATPM</t>
        </is>
      </c>
      <c r="E41" s="12" t="inlineStr">
        <is>
          <t>/bantuan/servis</t>
        </is>
      </c>
      <c r="F41" s="12" t="inlineStr">
        <is>
          <t>Section #layanan (anchor)</t>
        </is>
      </c>
      <c r="G41" s="12" t="inlineStr">
        <is>
          <t>Fase 2</t>
        </is>
      </c>
      <c r="H41" s="12" t="inlineStr">
        <is>
          <t>Konten</t>
        </is>
      </c>
      <c r="I41" s="12" t="inlineStr">
        <is>
          <t>svc showcase, stat-card</t>
        </is>
      </c>
      <c r="J41" s="12" t="inlineStr">
        <is>
          <t>Jadwal servis 10.000 km / 6 bulan, jaringan bengkel resmi</t>
        </is>
      </c>
      <c r="K41" s="12" t="inlineStr">
        <is>
          <t>Mega Bantuan</t>
        </is>
      </c>
      <c r="L41" s="27" t="n"/>
      <c r="M41" s="12" t="n"/>
      <c r="N41" s="12" t="n"/>
    </row>
    <row r="42">
      <c r="A42" s="12" t="inlineStr">
        <is>
          <t>4.3</t>
        </is>
      </c>
      <c r="B42" s="12" t="n">
        <v>2</v>
      </c>
      <c r="C42" s="12" t="inlineStr">
        <is>
          <t>4</t>
        </is>
      </c>
      <c r="D42" s="29" t="inlineStr">
        <is>
          <t>Bantuan darurat 24/7</t>
        </is>
      </c>
      <c r="E42" s="12" t="inlineStr">
        <is>
          <t>/bantuan/darurat</t>
        </is>
      </c>
      <c r="F42" s="12" t="inlineStr">
        <is>
          <t>Promo card di mega menu</t>
        </is>
      </c>
      <c r="G42" s="12" t="inlineStr">
        <is>
          <t>Fase 2</t>
        </is>
      </c>
      <c r="H42" s="12" t="inlineStr">
        <is>
          <t>Konten</t>
        </is>
      </c>
      <c r="I42" s="12" t="inlineStr">
        <is>
          <t>promo-card, live indicator, btn-wa</t>
        </is>
      </c>
      <c r="J42" s="12" t="inlineStr">
        <is>
          <t>Nomor darurat, alur penanganan mogok/derek</t>
        </is>
      </c>
      <c r="K42" s="12" t="inlineStr">
        <is>
          <t>Mega Bantuan</t>
        </is>
      </c>
      <c r="L42" s="27" t="n"/>
      <c r="M42" s="12" t="n"/>
      <c r="N42" s="12" t="n"/>
    </row>
    <row r="43">
      <c r="A43" s="12" t="inlineStr">
        <is>
          <t>5</t>
        </is>
      </c>
      <c r="B43" s="12" t="n">
        <v>1</v>
      </c>
      <c r="C43" s="12" t="inlineStr">
        <is>
          <t>0</t>
        </is>
      </c>
      <c r="D43" s="28" t="inlineStr">
        <is>
          <t>Tentang Kami</t>
        </is>
      </c>
      <c r="E43" s="12" t="inlineStr">
        <is>
          <t>/tentang-kami/</t>
        </is>
      </c>
      <c r="F43" s="12" t="inlineStr">
        <is>
          <t>tentang-kami/index.html</t>
        </is>
      </c>
      <c r="G43" s="12" t="inlineStr">
        <is>
          <t>Sudah ada</t>
        </is>
      </c>
      <c r="H43" s="12" t="inlineStr">
        <is>
          <t>Konten</t>
        </is>
      </c>
      <c r="I43" s="12" t="inlineStr">
        <is>
          <t>crumb.dark, trust strip, proof-logos, testimoni</t>
        </is>
      </c>
      <c r="J43" s="12" t="inlineStr">
        <is>
          <t>Profil perusahaan sejak 2010, legalitas, klien</t>
        </is>
      </c>
      <c r="K43" s="12" t="inlineStr">
        <is>
          <t>Header, Footer</t>
        </is>
      </c>
      <c r="L43" s="27" t="n"/>
      <c r="M43" s="12" t="n"/>
      <c r="N43" s="12" t="n"/>
    </row>
    <row r="44">
      <c r="A44" s="12" t="inlineStr">
        <is>
          <t>5.1</t>
        </is>
      </c>
      <c r="B44" s="12" t="n">
        <v>2</v>
      </c>
      <c r="C44" s="12" t="inlineStr">
        <is>
          <t>5</t>
        </is>
      </c>
      <c r="D44" s="29" t="inlineStr">
        <is>
          <t>Klien &amp; testimoni</t>
        </is>
      </c>
      <c r="E44" s="12" t="inlineStr">
        <is>
          <t>/tentang-kami/#klien</t>
        </is>
      </c>
      <c r="F44" s="12" t="inlineStr">
        <is>
          <t>Section #klien di tentang-kami/</t>
        </is>
      </c>
      <c r="G44" s="12" t="inlineStr">
        <is>
          <t>Sudah ada</t>
        </is>
      </c>
      <c r="H44" s="12" t="inlineStr">
        <is>
          <t>Konten</t>
        </is>
      </c>
      <c r="I44" s="12" t="inlineStr">
        <is>
          <t>logo-tile, t-slide testimoni</t>
        </is>
      </c>
      <c r="J44" s="12" t="inlineStr">
        <is>
          <t>Logo klien &amp; testimoni</t>
        </is>
      </c>
      <c r="K44" s="12" t="inlineStr">
        <is>
          <t>Footer</t>
        </is>
      </c>
      <c r="L44" s="27" t="n"/>
      <c r="M44" s="12" t="n"/>
      <c r="N44" s="12" t="inlineStr">
        <is>
          <t>Bisa anchor di Tentang Kami</t>
        </is>
      </c>
    </row>
    <row r="45">
      <c r="A45" s="12" t="inlineStr">
        <is>
          <t>6</t>
        </is>
      </c>
      <c r="B45" s="12" t="n">
        <v>1</v>
      </c>
      <c r="C45" s="12" t="inlineStr">
        <is>
          <t>0</t>
        </is>
      </c>
      <c r="D45" s="28" t="inlineStr">
        <is>
          <t>Artikel</t>
        </is>
      </c>
      <c r="E45" s="12" t="inlineStr">
        <is>
          <t>/artikel/</t>
        </is>
      </c>
      <c r="F45" s="12" t="inlineStr">
        <is>
          <t>artikel/index.html (3 artikel, filter kategori)</t>
        </is>
      </c>
      <c r="G45" s="12" t="inlineStr">
        <is>
          <t>Sudah ada</t>
        </is>
      </c>
      <c r="H45" s="12" t="inlineStr">
        <is>
          <t>Listing</t>
        </is>
      </c>
      <c r="I45" s="12" t="inlineStr">
        <is>
          <t>post card grid, tabs kategori</t>
        </is>
      </c>
      <c r="J45" s="12" t="inlineStr">
        <is>
          <t>Daftar artikel &amp; tips</t>
        </is>
      </c>
      <c r="K45" s="12" t="inlineStr">
        <is>
          <t>Mega Bantuan, Footer</t>
        </is>
      </c>
      <c r="L45" s="27" t="n"/>
      <c r="M45" s="12" t="n"/>
      <c r="N45" s="12" t="inlineStr">
        <is>
          <t>Lihat sheet Keputusan: arah konten</t>
        </is>
      </c>
    </row>
    <row r="46">
      <c r="A46" s="12" t="inlineStr">
        <is>
          <t>6.1</t>
        </is>
      </c>
      <c r="B46" s="12" t="n">
        <v>2</v>
      </c>
      <c r="C46" s="12" t="inlineStr">
        <is>
          <t>6</t>
        </is>
      </c>
      <c r="D46" s="29" t="inlineStr">
        <is>
          <t>Detail artikel</t>
        </is>
      </c>
      <c r="E46" s="12" t="inlineStr">
        <is>
          <t>/artikel/{slug}/</t>
        </is>
      </c>
      <c r="F46" s="12" t="inlineStr">
        <is>
          <t>artikel/{slug}/index.html (isi masih draf)</t>
        </is>
      </c>
      <c r="G46" s="12" t="inlineStr">
        <is>
          <t>Sudah ada</t>
        </is>
      </c>
      <c r="H46" s="12" t="inlineStr">
        <is>
          <t>Konten</t>
        </is>
      </c>
      <c r="I46" s="12" t="inlineStr">
        <is>
          <t>crumb.dark, t-* typography, cta-band</t>
        </is>
      </c>
      <c r="J46" s="12" t="inlineStr">
        <is>
          <t>Artikel tunggal + CTA penawaran</t>
        </is>
      </c>
      <c r="K46" s="12" t="inlineStr">
        <is>
          <t>—</t>
        </is>
      </c>
      <c r="L46" s="27" t="n"/>
      <c r="M46" s="12" t="n"/>
      <c r="N46" s="12" t="n"/>
    </row>
    <row r="47">
      <c r="A47" s="12" t="inlineStr">
        <is>
          <t>7</t>
        </is>
      </c>
      <c r="B47" s="12" t="n">
        <v>1</v>
      </c>
      <c r="C47" s="12" t="inlineStr">
        <is>
          <t>0</t>
        </is>
      </c>
      <c r="D47" s="28" t="inlineStr">
        <is>
          <t>Kontak &amp; lokasi</t>
        </is>
      </c>
      <c r="E47" s="12" t="inlineStr">
        <is>
          <t>/kontak/</t>
        </is>
      </c>
      <c r="F47" s="12" t="inlineStr">
        <is>
          <t>kontak/index.html (form + kanal + lokasi)</t>
        </is>
      </c>
      <c r="G47" s="12" t="inlineStr">
        <is>
          <t>Sudah ada</t>
        </is>
      </c>
      <c r="H47" s="12" t="inlineStr">
        <is>
          <t>Form</t>
        </is>
      </c>
      <c r="I47" s="12" t="inlineStr">
        <is>
          <t>fm-field, map embed, btn-wa</t>
        </is>
      </c>
      <c r="J47" s="12" t="inlineStr">
        <is>
          <t>Alamat Jl. Pangeran Jayakarta No. 73, telepon, email, jam kerja, form</t>
        </is>
      </c>
      <c r="K47" s="12" t="inlineStr">
        <is>
          <t>Header (Bantuan), Footer</t>
        </is>
      </c>
      <c r="L47" s="27" t="n"/>
      <c r="M47" s="12" t="n"/>
      <c r="N47" s="12" t="n"/>
    </row>
    <row r="48">
      <c r="A48" s="12" t="inlineStr">
        <is>
          <t>8</t>
        </is>
      </c>
      <c r="B48" s="12" t="n">
        <v>1</v>
      </c>
      <c r="C48" s="12" t="inlineStr">
        <is>
          <t>0</t>
        </is>
      </c>
      <c r="D48" s="28" t="inlineStr">
        <is>
          <t>Pesan Kendaraan</t>
        </is>
      </c>
      <c r="E48" s="12" t="inlineStr">
        <is>
          <t>/pesan/</t>
        </is>
      </c>
      <c r="F48" s="12" t="inlineStr">
        <is>
          <t>pesan/index.html</t>
        </is>
      </c>
      <c r="G48" s="12" t="inlineStr">
        <is>
          <t>Sudah ada</t>
        </is>
      </c>
      <c r="H48" s="12" t="inlineStr">
        <is>
          <t>Form</t>
        </is>
      </c>
      <c r="I48" s="12" t="inlineStr">
        <is>
          <t>ps-paths, ps-step + fm-*, ps-sum (ringkasan sticky)</t>
        </is>
      </c>
      <c r="J48" s="12" t="inlineStr">
        <is>
          <t>Formulir 2 jalur (perusahaan / perorangan), prefill dari kartu unit &amp; modal</t>
        </is>
      </c>
      <c r="K48" s="12" t="inlineStr">
        <is>
          <t>Menu "Pesan Kendaraan", footer, link di modal</t>
        </is>
      </c>
      <c r="L48" s="27" t="n"/>
      <c r="M48" s="12" t="n"/>
      <c r="N48" s="12" t="inlineStr">
        <is>
          <t>Kirim via WhatsApp sampai backend siap (data-endpoint); lihat docs/integrasi-pesan.md</t>
        </is>
      </c>
    </row>
    <row r="49">
      <c r="A49" s="12" t="inlineStr">
        <is>
          <t>8.1</t>
        </is>
      </c>
      <c r="B49" s="12" t="n">
        <v>2</v>
      </c>
      <c r="C49" s="12" t="inlineStr">
        <is>
          <t>8</t>
        </is>
      </c>
      <c r="D49" s="29" t="inlineStr">
        <is>
          <t>Terima kasih</t>
        </is>
      </c>
      <c r="E49" s="12" t="inlineStr">
        <is>
          <t>/terima-kasih/</t>
        </is>
      </c>
      <c r="F49" s="12" t="inlineStr">
        <is>
          <t>terima-kasih/index.html</t>
        </is>
      </c>
      <c r="G49" s="12" t="inlineStr">
        <is>
          <t>Sudah ada</t>
        </is>
      </c>
      <c r="H49" s="12" t="inlineStr">
        <is>
          <t>Form</t>
        </is>
      </c>
      <c r="I49" s="12" t="inlineStr">
        <is>
          <t>ty-ok, ty-sum, ty-steps</t>
        </is>
      </c>
      <c r="J49" s="12" t="inlineStr">
        <is>
          <t>Konfirmasi + langkah selanjutnya; status WhatsApp / terkirim</t>
        </is>
      </c>
      <c r="K49" s="12" t="inlineStr">
        <is>
          <t>—</t>
        </is>
      </c>
      <c r="L49" s="27" t="n"/>
      <c r="M49" s="12" t="n"/>
      <c r="N49" s="12" t="inlineStr">
        <is>
          <t>noindex</t>
        </is>
      </c>
    </row>
    <row r="50">
      <c r="A50" s="12" t="inlineStr">
        <is>
          <t>9</t>
        </is>
      </c>
      <c r="B50" s="12" t="n">
        <v>1</v>
      </c>
      <c r="C50" s="12" t="inlineStr">
        <is>
          <t>0</t>
        </is>
      </c>
      <c r="D50" s="28" t="inlineStr">
        <is>
          <t>Syarat &amp; Ketentuan</t>
        </is>
      </c>
      <c r="E50" s="12" t="inlineStr">
        <is>
          <t>/syarat-ketentuan</t>
        </is>
      </c>
      <c r="F50" s="12" t="inlineStr">
        <is>
          <t>Link href="#" (mati)</t>
        </is>
      </c>
      <c r="G50" s="12" t="inlineStr">
        <is>
          <t>Baru – Fase 1</t>
        </is>
      </c>
      <c r="H50" s="12" t="inlineStr">
        <is>
          <t>Konten</t>
        </is>
      </c>
      <c r="I50" s="12" t="inlineStr">
        <is>
          <t>crumb.dark, typography</t>
        </is>
      </c>
      <c r="J50" s="12" t="inlineStr">
        <is>
          <t>Aturan sewa &amp; pembayaran</t>
        </is>
      </c>
      <c r="K50" s="12" t="inlineStr">
        <is>
          <t>Footer, Mega Bantuan</t>
        </is>
      </c>
      <c r="L50" s="27" t="n"/>
      <c r="M50" s="12" t="n"/>
      <c r="N50" s="12" t="n"/>
    </row>
    <row r="51">
      <c r="A51" s="12" t="inlineStr">
        <is>
          <t>10</t>
        </is>
      </c>
      <c r="B51" s="12" t="n">
        <v>1</v>
      </c>
      <c r="C51" s="12" t="inlineStr">
        <is>
          <t>0</t>
        </is>
      </c>
      <c r="D51" s="28" t="inlineStr">
        <is>
          <t>Kebijakan Privasi</t>
        </is>
      </c>
      <c r="E51" s="12" t="inlineStr">
        <is>
          <t>/kebijakan-privasi</t>
        </is>
      </c>
      <c r="F51" s="12" t="inlineStr">
        <is>
          <t>—</t>
        </is>
      </c>
      <c r="G51" s="12" t="inlineStr">
        <is>
          <t>Baru – Fase 1</t>
        </is>
      </c>
      <c r="H51" s="12" t="inlineStr">
        <is>
          <t>Konten</t>
        </is>
      </c>
      <c r="I51" s="12" t="inlineStr">
        <is>
          <t>crumb.dark, typography</t>
        </is>
      </c>
      <c r="J51" s="12" t="inlineStr">
        <is>
          <t>Penggunaan data form &amp; WhatsApp</t>
        </is>
      </c>
      <c r="K51" s="12" t="inlineStr">
        <is>
          <t>Footer (legal)</t>
        </is>
      </c>
      <c r="L51" s="27" t="n"/>
      <c r="M51" s="12" t="n"/>
      <c r="N51" s="12" t="n"/>
    </row>
    <row r="52">
      <c r="A52" s="12" t="inlineStr">
        <is>
          <t>11</t>
        </is>
      </c>
      <c r="B52" s="12" t="n">
        <v>1</v>
      </c>
      <c r="C52" s="12" t="inlineStr">
        <is>
          <t>0</t>
        </is>
      </c>
      <c r="D52" s="28" t="inlineStr">
        <is>
          <t>Halaman 404</t>
        </is>
      </c>
      <c r="E52" s="12" t="inlineStr">
        <is>
          <t>/404</t>
        </is>
      </c>
      <c r="F52" s="12" t="inlineStr">
        <is>
          <t>—</t>
        </is>
      </c>
      <c r="G52" s="12" t="inlineStr">
        <is>
          <t>Baru – Fase 1</t>
        </is>
      </c>
      <c r="H52" s="12" t="inlineStr">
        <is>
          <t>Konten</t>
        </is>
      </c>
      <c r="I52" s="12" t="inlineStr">
        <is>
          <t>hero kecil, btn</t>
        </is>
      </c>
      <c r="J52" s="12" t="inlineStr">
        <is>
          <t>Halaman tidak ditemukan + link ke Armada/Beranda</t>
        </is>
      </c>
      <c r="K52" s="12" t="inlineStr">
        <is>
          <t>—</t>
        </is>
      </c>
      <c r="L52" s="27" t="n"/>
      <c r="M52" s="12" t="n"/>
      <c r="N52" s="12" t="inlineStr">
        <is>
          <t>noindex</t>
        </is>
      </c>
    </row>
    <row r="53">
      <c r="A53" s="12" t="inlineStr">
        <is>
          <t>12</t>
        </is>
      </c>
      <c r="B53" s="12" t="n">
        <v>1</v>
      </c>
      <c r="C53" s="12" t="inlineStr">
        <is>
          <t>0</t>
        </is>
      </c>
      <c r="D53" s="28" t="inlineStr">
        <is>
          <t>sitemap.xml &amp; robots.txt</t>
        </is>
      </c>
      <c r="E53" s="12" t="inlineStr">
        <is>
          <t>/sitemap.xml</t>
        </is>
      </c>
      <c r="F53" s="12" t="inlineStr">
        <is>
          <t>—</t>
        </is>
      </c>
      <c r="G53" s="12" t="inlineStr">
        <is>
          <t>Baru – Fase 1</t>
        </is>
      </c>
      <c r="H53" s="12" t="inlineStr">
        <is>
          <t>—</t>
        </is>
      </c>
      <c r="I53" s="12" t="inlineStr">
        <is>
          <t>—</t>
        </is>
      </c>
      <c r="J53" s="12" t="inlineStr">
        <is>
          <t>File teknis SEO</t>
        </is>
      </c>
      <c r="K53" s="12" t="inlineStr">
        <is>
          <t>—</t>
        </is>
      </c>
      <c r="L53" s="27" t="n"/>
      <c r="M53" s="12" t="n"/>
      <c r="N53" s="12" t="inlineStr">
        <is>
          <t>Bukan halaman visual</t>
        </is>
      </c>
    </row>
  </sheetData>
  <autoFilter ref="A4:N53"/>
  <conditionalFormatting sqref="G5:G53">
    <cfRule type="expression" priority="1" dxfId="0">
      <formula>$G5="Sudah ada"</formula>
    </cfRule>
    <cfRule type="expression" priority="2" dxfId="1">
      <formula>$G5="Baru – Fase 1"</formula>
    </cfRule>
    <cfRule type="expression" priority="3" dxfId="2">
      <formula>$G5="Fase 2"</formula>
    </cfRule>
    <cfRule type="expression" priority="4" dxfId="3">
      <formula>$G5="Fase 3"</formula>
    </cfRule>
  </conditionalFormatting>
  <dataValidations count="1">
    <dataValidation sqref="E6 E8 E9 E10 E11 E12 E14 E15 E16 E17 E18 E19 E21 E22 E24 E25 E27 E28 E29 E30 E32 E33 E35 E36 E37 E39 E40 E41 E42 G5 G6 G7 G8 G9 G10 G11 G12 G13 G14 G15 G16 G17 G18 G19 G20 G21 G22 G23 G24 G25 G26 G27 G28 G29 G30 G31 G32 G33 G34 G35 G36 G37 G38 G39 G40 G41 G42 G43 G44 G45 G46 G47 G48 G49 G50 G51 G52 G53" showDropDown="0" showInputMessage="0" showErrorMessage="0" allowBlank="0" type="list">
      <formula1>"Sudah ada,Baru – Fase 1,Fase 2,Fase 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34" customWidth="1" min="3" max="3"/>
    <col width="44" customWidth="1" min="4" max="4"/>
    <col width="40" customWidth="1" min="5" max="5"/>
  </cols>
  <sheetData>
    <row r="1">
      <c r="A1" s="1" t="inlineStr">
        <is>
          <t>Pemetaan menu: sekarang → rekomendasi</t>
        </is>
      </c>
    </row>
    <row r="3">
      <c r="A3" s="3" t="inlineStr">
        <is>
          <t>Lokasi</t>
        </is>
      </c>
      <c r="B3" s="3" t="inlineStr">
        <is>
          <t>Item</t>
        </is>
      </c>
      <c r="C3" s="3" t="inlineStr">
        <is>
          <t>Link sekarang</t>
        </is>
      </c>
      <c r="D3" s="3" t="inlineStr">
        <is>
          <t>Link rekomendasi</t>
        </is>
      </c>
      <c r="E3" s="3" t="inlineStr">
        <is>
          <t>Catatan</t>
        </is>
      </c>
    </row>
    <row r="4">
      <c r="A4" s="12" t="inlineStr">
        <is>
          <t>Header</t>
        </is>
      </c>
      <c r="B4" s="12" t="inlineStr">
        <is>
          <t>Beranda</t>
        </is>
      </c>
      <c r="C4" s="12" t="inlineStr">
        <is>
          <t>#top / index.html</t>
        </is>
      </c>
      <c r="D4" s="12" t="inlineStr">
        <is>
          <t>/</t>
        </is>
      </c>
      <c r="E4" s="12" t="inlineStr">
        <is>
          <t>Logo juga ke Beranda</t>
        </is>
      </c>
    </row>
    <row r="5">
      <c r="A5" s="12" t="inlineStr">
        <is>
          <t>Header</t>
        </is>
      </c>
      <c r="B5" s="12" t="inlineStr">
        <is>
          <t>Solusi Bisnis ▾</t>
        </is>
      </c>
      <c r="C5" s="12" t="inlineStr">
        <is>
          <t>solusi-bisnis.html + mega 4 kolom</t>
        </is>
      </c>
      <c r="D5" s="12" t="inlineStr">
        <is>
          <t>/solusi-bisnis (+ anchor/sub-halaman)</t>
        </is>
      </c>
      <c r="E5" s="12" t="inlineStr">
        <is>
          <t>Tetap</t>
        </is>
      </c>
    </row>
    <row r="6">
      <c r="A6" s="12" t="inlineStr">
        <is>
          <t>Header</t>
        </is>
      </c>
      <c r="B6" s="12" t="inlineStr">
        <is>
          <t>Armada ▾</t>
        </is>
      </c>
      <c r="C6" s="12" t="inlineStr">
        <is>
          <t>Mega kategori → #armada</t>
        </is>
      </c>
      <c r="D6" s="12" t="inlineStr">
        <is>
          <t>/armada, /armada/mobil, /armada/motor</t>
        </is>
      </c>
      <c r="E6" s="12" t="inlineStr">
        <is>
          <t>"Lihat semua {kategori}" ke listing berfilter</t>
        </is>
      </c>
    </row>
    <row r="7">
      <c r="A7" s="12" t="inlineStr">
        <is>
          <t>Header</t>
        </is>
      </c>
      <c r="B7" s="12" t="inlineStr">
        <is>
          <t>Pesan Kendaraan</t>
        </is>
      </c>
      <c r="C7" s="12" t="inlineStr">
        <is>
          <t>#armada</t>
        </is>
      </c>
      <c r="D7" s="12" t="inlineStr">
        <is>
          <t>/pesan/</t>
        </is>
      </c>
      <c r="E7" s="12" t="inlineStr">
        <is>
          <t>Sudah diubah: halaman formulir 2 jalur</t>
        </is>
      </c>
    </row>
    <row r="8">
      <c r="A8" s="12" t="inlineStr">
        <is>
          <t>Header</t>
        </is>
      </c>
      <c r="B8" s="12" t="inlineStr">
        <is>
          <t>Cara Sewa</t>
        </is>
      </c>
      <c r="C8" s="12" t="inlineStr">
        <is>
          <t>(tidak ada, hanya di mega Bantuan)</t>
        </is>
      </c>
      <c r="D8" s="12" t="inlineStr">
        <is>
          <t>/cara-sewa</t>
        </is>
      </c>
      <c r="E8" s="12" t="inlineStr">
        <is>
          <t>Naikkan ke menu utama: tahap penting B2B</t>
        </is>
      </c>
    </row>
    <row r="9">
      <c r="A9" s="12" t="inlineStr">
        <is>
          <t>Header</t>
        </is>
      </c>
      <c r="B9" s="12" t="inlineStr">
        <is>
          <t>Tentang Kami</t>
        </is>
      </c>
      <c r="C9" s="12" t="inlineStr">
        <is>
          <t>#footer</t>
        </is>
      </c>
      <c r="D9" s="12" t="inlineStr">
        <is>
          <t>/tentang-kami</t>
        </is>
      </c>
      <c r="E9" s="12" t="inlineStr"/>
    </row>
    <row r="10">
      <c r="A10" s="12" t="inlineStr">
        <is>
          <t>Header</t>
        </is>
      </c>
      <c r="B10" s="12" t="inlineStr">
        <is>
          <t>Bantuan ▾</t>
        </is>
      </c>
      <c r="C10" s="12" t="inlineStr">
        <is>
          <t>Mega 3 kolom (anchor)</t>
        </is>
      </c>
      <c r="D10" s="12" t="inlineStr">
        <is>
          <t>FAQ, Servis, Darurat, Kontak, Artikel</t>
        </is>
      </c>
      <c r="E10" s="12" t="inlineStr"/>
    </row>
    <row r="11">
      <c r="A11" s="12" t="inlineStr">
        <is>
          <t>Header</t>
        </is>
      </c>
      <c r="B11" s="12" t="inlineStr">
        <is>
          <t>CTA: Minta Penawaran</t>
        </is>
      </c>
      <c r="C11" s="12" t="inlineStr">
        <is>
          <t>Modal / WhatsApp</t>
        </is>
      </c>
      <c r="D11" s="12" t="inlineStr">
        <is>
          <t>Modal + link "Isi formulir lengkap" ke /pesan/</t>
        </is>
      </c>
      <c r="E11" s="12" t="inlineStr">
        <is>
          <t>Sudah diubah</t>
        </is>
      </c>
    </row>
    <row r="12">
      <c r="A12" s="12" t="inlineStr">
        <is>
          <t>Footer – Solusi Bisnis</t>
        </is>
      </c>
      <c r="B12" s="12" t="inlineStr">
        <is>
          <t>4 link</t>
        </is>
      </c>
      <c r="C12" s="12" t="inlineStr">
        <is>
          <t>solusi-bisnis.html#s-*</t>
        </is>
      </c>
      <c r="D12" s="12" t="inlineStr">
        <is>
          <t>Sama (Fase 2: sub-halaman)</t>
        </is>
      </c>
      <c r="E12" s="12" t="inlineStr"/>
    </row>
    <row r="13">
      <c r="A13" s="12" t="inlineStr">
        <is>
          <t>Footer – Armada</t>
        </is>
      </c>
      <c r="B13" s="12" t="inlineStr">
        <is>
          <t>Mobil, Mobil Listrik, Motor, Pesan Kendaraan</t>
        </is>
      </c>
      <c r="C13" s="12" t="inlineStr">
        <is>
          <t>Semua ke #armada</t>
        </is>
      </c>
      <c r="D13" s="12" t="inlineStr">
        <is>
          <t>/armada/mobil, /armada/mobil/listrik, /armada/motor</t>
        </is>
      </c>
      <c r="E13" s="12" t="inlineStr">
        <is>
          <t>Hapus "Pesan Kendaraan"</t>
        </is>
      </c>
    </row>
    <row r="14">
      <c r="A14" s="12" t="inlineStr">
        <is>
          <t>Footer – Tentang Kami</t>
        </is>
      </c>
      <c r="B14" s="12" t="inlineStr">
        <is>
          <t>Profil &amp; Legalitas, Klien, Kontak &amp; Lokasi</t>
        </is>
      </c>
      <c r="C14" s="12" t="inlineStr">
        <is>
          <t>href="#" (mati)</t>
        </is>
      </c>
      <c r="D14" s="12" t="inlineStr">
        <is>
          <t>/tentang-kami, /tentang-kami#klien, /kontak</t>
        </is>
      </c>
      <c r="E14" s="12" t="inlineStr">
        <is>
          <t>Perbaiki saat launch</t>
        </is>
      </c>
    </row>
    <row r="15">
      <c r="A15" s="12" t="inlineStr">
        <is>
          <t>Footer – Bantuan</t>
        </is>
      </c>
      <c r="B15" s="12" t="inlineStr">
        <is>
          <t>FAQ, Cara Sewa, S&amp;K, Artikel</t>
        </is>
      </c>
      <c r="C15" s="12" t="inlineStr">
        <is>
          <t>#faq, #cara-sewa, "#", #blog</t>
        </is>
      </c>
      <c r="D15" s="12" t="inlineStr">
        <is>
          <t>/bantuan/faq, /cara-sewa, /syarat-ketentuan, /artikel</t>
        </is>
      </c>
      <c r="E15" s="12" t="inlineStr"/>
    </row>
    <row r="16">
      <c r="A16" s="12" t="inlineStr">
        <is>
          <t>Footer – Legal</t>
        </is>
      </c>
      <c r="B16" s="12" t="inlineStr">
        <is>
          <t>—</t>
        </is>
      </c>
      <c r="C16" s="12" t="inlineStr">
        <is>
          <t>—</t>
        </is>
      </c>
      <c r="D16" s="12" t="inlineStr">
        <is>
          <t>/kebijakan-privasi</t>
        </is>
      </c>
      <c r="E16" s="12" t="inlineStr">
        <is>
          <t>Tambahkan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60" customWidth="1" min="3" max="3"/>
    <col width="40" customWidth="1" min="4" max="4"/>
    <col width="16" customWidth="1" min="5" max="5"/>
    <col width="13" customWidth="1" min="6" max="6"/>
  </cols>
  <sheetData>
    <row r="1">
      <c r="A1" s="1" t="inlineStr">
        <is>
          <t>Temuan di situs saat ini &amp; keputusan terbuka</t>
        </is>
      </c>
    </row>
    <row r="3">
      <c r="A3" s="3" t="inlineStr">
        <is>
          <t>Jenis</t>
        </is>
      </c>
      <c r="B3" s="3" t="inlineStr">
        <is>
          <t>Topik</t>
        </is>
      </c>
      <c r="C3" s="3" t="inlineStr">
        <is>
          <t>Detail</t>
        </is>
      </c>
      <c r="D3" s="3" t="inlineStr">
        <is>
          <t>Tindak lanjut</t>
        </is>
      </c>
      <c r="E3" s="3" t="inlineStr">
        <is>
          <t>PIC</t>
        </is>
      </c>
      <c r="F3" s="3" t="inlineStr">
        <is>
          <t>Status</t>
        </is>
      </c>
    </row>
    <row r="4">
      <c r="A4" s="12" t="inlineStr">
        <is>
          <t>Temuan</t>
        </is>
      </c>
      <c r="B4" s="12" t="inlineStr">
        <is>
          <t>Link mati</t>
        </is>
      </c>
      <c r="C4" s="12" t="inlineStr">
        <is>
          <t>4 link footer berisi href="#": Profil &amp; Legalitas, Klien, Kontak &amp; Lokasi, Syarat &amp; Ketentuan</t>
        </is>
      </c>
      <c r="D4" s="12" t="inlineStr">
        <is>
          <t>Buat halaman 5, 5.1, 7, 9</t>
        </is>
      </c>
      <c r="E4" s="31" t="inlineStr"/>
      <c r="F4" s="12" t="inlineStr">
        <is>
          <t>Open</t>
        </is>
      </c>
    </row>
    <row r="5">
      <c r="A5" s="12" t="inlineStr">
        <is>
          <t>Temuan</t>
        </is>
      </c>
      <c r="B5" s="12" t="inlineStr">
        <is>
          <t>Anchor ke footer</t>
        </is>
      </c>
      <c r="C5" s="12" t="inlineStr">
        <is>
          <t>"Tentang Kami", "Kontak &amp; lokasi", "Syarat &amp; Ketentuan" di menu mengarah ke #footer</t>
        </is>
      </c>
      <c r="D5" s="12" t="inlineStr">
        <is>
          <t>Arahkan ke halaman masing-masing</t>
        </is>
      </c>
      <c r="E5" s="31" t="inlineStr"/>
      <c r="F5" s="12" t="inlineStr">
        <is>
          <t>Open</t>
        </is>
      </c>
    </row>
    <row r="6">
      <c r="A6" s="12" t="inlineStr">
        <is>
          <t>Temuan</t>
        </is>
      </c>
      <c r="B6" s="12" t="inlineStr">
        <is>
          <t>Armada satu anchor</t>
        </is>
      </c>
      <c r="C6" s="12" t="inlineStr">
        <is>
          <t>Mobil, Mobil Listrik, Motor, Pesan Kendaraan semua ke #armada</t>
        </is>
      </c>
      <c r="D6" s="12" t="inlineStr">
        <is>
          <t>Buat /armada + sub-listing</t>
        </is>
      </c>
      <c r="E6" s="31" t="inlineStr"/>
      <c r="F6" s="12" t="inlineStr">
        <is>
          <t>Open</t>
        </is>
      </c>
    </row>
    <row r="7">
      <c r="A7" s="12" t="inlineStr">
        <is>
          <t>Temuan</t>
        </is>
      </c>
      <c r="B7" s="12" t="inlineStr">
        <is>
          <t>Detail unit</t>
        </is>
      </c>
      <c r="C7" s="12" t="inlineStr">
        <is>
          <t>Baru 1 dari 21 unit punya halaman detail (Wuling Cortez Darion)</t>
        </is>
      </c>
      <c r="D7" s="12" t="inlineStr">
        <is>
          <t>Pakai template detail untuk 20 unit lain</t>
        </is>
      </c>
      <c r="E7" s="31" t="inlineStr"/>
      <c r="F7" s="12" t="inlineStr">
        <is>
          <t>Open</t>
        </is>
      </c>
    </row>
    <row r="8">
      <c r="A8" s="12" t="inlineStr">
        <is>
          <t>Temuan</t>
        </is>
      </c>
      <c r="B8" s="12" t="inlineStr">
        <is>
          <t>Dokumen</t>
        </is>
      </c>
      <c r="C8" s="12" t="inlineStr">
        <is>
          <t>"Dokumen yang perlu disiapkan" mengarah ke #faq</t>
        </is>
      </c>
      <c r="D8" s="12" t="inlineStr">
        <is>
          <t>Masukkan ke /cara-sewa</t>
        </is>
      </c>
      <c r="E8" s="31" t="inlineStr"/>
      <c r="F8" s="12" t="inlineStr">
        <is>
          <t>Open</t>
        </is>
      </c>
    </row>
    <row r="9">
      <c r="A9" s="12" t="inlineStr">
        <is>
          <t>Temuan</t>
        </is>
      </c>
      <c r="B9" s="12" t="inlineStr">
        <is>
          <t>Unit di luar katalog</t>
        </is>
      </c>
      <c r="C9" s="12" t="inlineStr">
        <is>
          <t>Honda City (mega menu City Car) &amp; Lexus LM 350h (dropdown form) tidak ada di daftar armada utama</t>
        </is>
      </c>
      <c r="D9" s="12" t="inlineStr">
        <is>
          <t>Konfirmasi apakah perlu halaman detail</t>
        </is>
      </c>
      <c r="E9" s="31" t="inlineStr"/>
      <c r="F9" s="12" t="inlineStr">
        <is>
          <t>Open</t>
        </is>
      </c>
    </row>
    <row r="10">
      <c r="A10" s="12" t="inlineStr">
        <is>
          <t>Keputusan</t>
        </is>
      </c>
      <c r="B10" s="12" t="inlineStr">
        <is>
          <t>Format URL</t>
        </is>
      </c>
      <c r="C10" s="12" t="inlineStr">
        <is>
          <t>URL bersih (/armada/slug) butuh rewrite server atau struktur folder/index.html</t>
        </is>
      </c>
      <c r="D10" s="12" t="inlineStr">
        <is>
          <t>Tentukan hosting &amp; pola URL</t>
        </is>
      </c>
      <c r="E10" s="31" t="inlineStr"/>
      <c r="F10" s="12" t="inlineStr">
        <is>
          <t>Open</t>
        </is>
      </c>
    </row>
    <row r="11">
      <c r="A11" s="12" t="inlineStr">
        <is>
          <t>Keputusan</t>
        </is>
      </c>
      <c r="B11" s="12" t="inlineStr">
        <is>
          <t>Arah artikel</t>
        </is>
      </c>
      <c r="C11" s="12" t="inlineStr">
        <is>
          <t>Diputuskan 21 Okt 2026: 2 artikel konsumen diganti topik B2B (sewa vs beli, pengadaan instansi). Isi masih draf.</t>
        </is>
      </c>
      <c r="D11" s="12" t="inlineStr">
        <is>
          <t>Tinjau dan setujui isi 3 artikel</t>
        </is>
      </c>
      <c r="E11" s="31" t="inlineStr"/>
      <c r="F11" s="12" t="inlineStr">
        <is>
          <t>Open</t>
        </is>
      </c>
    </row>
    <row r="12">
      <c r="A12" s="12" t="inlineStr">
        <is>
          <t>Keputusan</t>
        </is>
      </c>
      <c r="B12" s="12" t="inlineStr">
        <is>
          <t>Posisi motor</t>
        </is>
      </c>
      <c r="C12" s="12" t="inlineStr">
        <is>
          <t>Motor disewa per minggu: untuk perusahaan (kurir/lapangan) atau perorangan?</t>
        </is>
      </c>
      <c r="D12" s="12" t="inlineStr">
        <is>
          <t>Menentukan jalur penawaran /armada/motor</t>
        </is>
      </c>
      <c r="E12" s="31" t="inlineStr"/>
      <c r="F12" s="12" t="inlineStr">
        <is>
          <t>Open</t>
        </is>
      </c>
    </row>
    <row r="13">
      <c r="A13" s="12" t="inlineStr">
        <is>
          <t>Keputusan</t>
        </is>
      </c>
      <c r="B13" s="12" t="inlineStr">
        <is>
          <t>Pecah Solusi Bisnis</t>
        </is>
      </c>
      <c r="C13" s="12" t="inlineStr">
        <is>
          <t>Kapan 4 solusi dijadikan sub-halaman sendiri</t>
        </is>
      </c>
      <c r="D13" s="12" t="inlineStr">
        <is>
          <t>Saat konten/SEO per solusi siap</t>
        </is>
      </c>
      <c r="E13" s="31" t="inlineStr"/>
      <c r="F13" s="12" t="inlineStr">
        <is>
          <t>Open</t>
        </is>
      </c>
    </row>
    <row r="15">
      <c r="A15" s="2" t="inlineStr">
        <is>
          <t>Isi kolom PIC (kuning) dan ubah Status sesuai progres.</t>
        </is>
      </c>
    </row>
  </sheetData>
  <dataValidations count="1">
    <dataValidation sqref="F4:F13" showDropDown="0" showInputMessage="0" showErrorMessage="0" allowBlank="0" type="list">
      <formula1>"Open,In progress,Done"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2026-10-21T07:07:44Z</dcterms:created>
  <dcterms:modified xsi:type="dcterms:W3CDTF">2026-10-21T07:07:44Z</dcterms:modified>
</cp:coreProperties>
</file>